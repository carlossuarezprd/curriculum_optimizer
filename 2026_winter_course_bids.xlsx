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SUAREZ4\Downloads\"/>
    </mc:Choice>
  </mc:AlternateContent>
  <xr:revisionPtr revIDLastSave="0" documentId="8_{574E3431-0D30-49E8-A20C-B4387764DB12}" xr6:coauthVersionLast="47" xr6:coauthVersionMax="47" xr10:uidLastSave="{00000000-0000-0000-0000-000000000000}"/>
  <bookViews>
    <workbookView xWindow="-108" yWindow="-108" windowWidth="23256" windowHeight="12456" xr2:uid="{E97FAE53-C9BD-4D26-B68D-CEA22DF5E2F9}"/>
  </bookViews>
  <sheets>
    <sheet name="Winter 2026" sheetId="1" r:id="rId1"/>
  </sheets>
  <definedNames>
    <definedName name="_xlnm._FilterDatabase" localSheetId="0" hidden="1">'Winter 2026'!$A$1:$S$174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4" i="1" l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<sst xmlns="http://schemas.openxmlformats.org/spreadsheetml/2006/main" count="1331" uniqueCount="436">
  <si>
    <t>key</t>
  </si>
  <si>
    <t>Course</t>
  </si>
  <si>
    <t>Title</t>
  </si>
  <si>
    <t>Quarter</t>
  </si>
  <si>
    <t>Year</t>
  </si>
  <si>
    <t>Day and Time</t>
  </si>
  <si>
    <t>Instructor</t>
  </si>
  <si>
    <t>Total Enrollment after  Phase 1</t>
  </si>
  <si>
    <t>Seats Available after Phase 1</t>
  </si>
  <si>
    <t>Phase 1 Price</t>
  </si>
  <si>
    <t>Total Enrollment after  Phase 2</t>
  </si>
  <si>
    <t>Seats Available after Phase 2</t>
  </si>
  <si>
    <t>Phase 2 Price</t>
  </si>
  <si>
    <t>Total Enrollment after  New Students</t>
  </si>
  <si>
    <t>Seats Available after New Students</t>
  </si>
  <si>
    <t>New Students Price</t>
  </si>
  <si>
    <t>Total Enrollment after  Phase 3</t>
  </si>
  <si>
    <t>Seats Available after Phase 3</t>
  </si>
  <si>
    <t>Phase 3 Price</t>
  </si>
  <si>
    <t>30000-01</t>
  </si>
  <si>
    <r>
      <rPr>
        <sz val="10"/>
        <color rgb="FF000000"/>
        <rFont val="Calibri"/>
        <family val="2"/>
      </rPr>
      <t>Financial Accounting</t>
    </r>
  </si>
  <si>
    <t>Winter</t>
  </si>
  <si>
    <t>2026</t>
  </si>
  <si>
    <t>Tuesday, 08:30 am - 11:30 am</t>
  </si>
  <si>
    <t>Heltzer, Wendy</t>
  </si>
  <si>
    <t>N/A</t>
  </si>
  <si>
    <t>30000-02</t>
  </si>
  <si>
    <t>Tuesday, 1:30 pm - 4:30 pm</t>
  </si>
  <si>
    <t>30000-81</t>
  </si>
  <si>
    <t>Wednesday, 6:00 pm - 9:00 pm</t>
  </si>
  <si>
    <t>30000-85</t>
  </si>
  <si>
    <t>Saturday, 1:30 pm - 4:30 pm</t>
  </si>
  <si>
    <t>Kleymenova, Anya</t>
  </si>
  <si>
    <t>30005-01</t>
  </si>
  <si>
    <r>
      <rPr>
        <sz val="10"/>
        <color rgb="FF000000"/>
        <rFont val="Calibri"/>
        <family val="2"/>
      </rPr>
      <t>Internal Information for Strategic Decisions</t>
    </r>
  </si>
  <si>
    <t>Monday, 08:30 am - 11:30 am</t>
  </si>
  <si>
    <t>Costello, Anna</t>
  </si>
  <si>
    <t>CLO</t>
  </si>
  <si>
    <t>30005-02</t>
  </si>
  <si>
    <t>Monday, 01:30 pm - 04:30 pm</t>
  </si>
  <si>
    <t>30005-85</t>
  </si>
  <si>
    <t>Saturday, 9:00 am - 12:00 pm</t>
  </si>
  <si>
    <t>30118-01</t>
  </si>
  <si>
    <r>
      <rPr>
        <sz val="10"/>
        <color rgb="FF000000"/>
        <rFont val="Calibri"/>
        <family val="2"/>
      </rPr>
      <t>Taxes and Business Strategy</t>
    </r>
  </si>
  <si>
    <t>Thursday, 08:30 am - 11:30 am</t>
  </si>
  <si>
    <t>Weiss, Ira</t>
  </si>
  <si>
    <t>30118-02</t>
  </si>
  <si>
    <t>Thursday, 01:30 pm - 04:30 pm</t>
  </si>
  <si>
    <t>30130-01</t>
  </si>
  <si>
    <r>
      <rPr>
        <sz val="10"/>
        <color rgb="FF000000"/>
        <rFont val="Calibri"/>
        <family val="2"/>
      </rPr>
      <t>Financial Statement Analysis</t>
    </r>
  </si>
  <si>
    <t>Smith, Abbie</t>
  </si>
  <si>
    <t>30130-81</t>
  </si>
  <si>
    <t>Tuesday, 6:00 pm - 9:00 pm</t>
  </si>
  <si>
    <t>30130-85</t>
  </si>
  <si>
    <t>30135-01</t>
  </si>
  <si>
    <r>
      <rPr>
        <sz val="10"/>
        <color rgb="FF000000"/>
        <rFont val="Calibri"/>
        <family val="2"/>
      </rPr>
      <t>AI and Financial Information</t>
    </r>
  </si>
  <si>
    <t>Levy, Bradford</t>
  </si>
  <si>
    <t>30135-81</t>
  </si>
  <si>
    <t>30600-60</t>
  </si>
  <si>
    <r>
      <rPr>
        <sz val="10"/>
        <color rgb="FF000000"/>
        <rFont val="Calibri"/>
        <family val="2"/>
      </rPr>
      <t>Workshop in Accounting Research</t>
    </r>
  </si>
  <si>
    <t>Thursday, 01:20 pm - 02:50 pm</t>
  </si>
  <si>
    <t>Stewart, Christopher; Tomy, Rimmy</t>
  </si>
  <si>
    <t>30906-50</t>
  </si>
  <si>
    <r>
      <rPr>
        <sz val="10"/>
        <color rgb="FF000000"/>
        <rFont val="Calibri"/>
        <family val="2"/>
      </rPr>
      <t>Contracting on Accounting Information</t>
    </r>
  </si>
  <si>
    <t>Tuesday, 01:00 pm - 04:00 pm</t>
  </si>
  <si>
    <t>Nikolaev, Valeri</t>
  </si>
  <si>
    <t>32120-01</t>
  </si>
  <si>
    <r>
      <rPr>
        <sz val="10"/>
        <color rgb="FF000000"/>
        <rFont val="Calibri"/>
        <family val="2"/>
      </rPr>
      <t>Data Analysis with Python and SQL</t>
    </r>
  </si>
  <si>
    <t>Kattan, Lara</t>
  </si>
  <si>
    <t>32120-02</t>
  </si>
  <si>
    <t>32120-81</t>
  </si>
  <si>
    <t>32210-01</t>
  </si>
  <si>
    <r>
      <rPr>
        <sz val="10"/>
        <color rgb="FF000000"/>
        <rFont val="Calibri"/>
        <family val="2"/>
      </rPr>
      <t>Generative Thinking</t>
    </r>
  </si>
  <si>
    <t>Wednesday, 08:30 am - 11:30 am</t>
  </si>
  <si>
    <t>Misra, Sanjog</t>
  </si>
  <si>
    <t>33001-01</t>
  </si>
  <si>
    <r>
      <rPr>
        <sz val="10"/>
        <color rgb="FF000000"/>
        <rFont val="Calibri"/>
        <family val="2"/>
      </rPr>
      <t>Microeconomics</t>
    </r>
  </si>
  <si>
    <t>Campos, Christopher</t>
  </si>
  <si>
    <t>33001-02</t>
  </si>
  <si>
    <t>33001-81</t>
  </si>
  <si>
    <t>Monday, 6:00 pm - 9:00 pm</t>
  </si>
  <si>
    <t>33050-01</t>
  </si>
  <si>
    <r>
      <rPr>
        <sz val="10"/>
        <color rgb="FF000000"/>
        <rFont val="Calibri"/>
        <family val="2"/>
      </rPr>
      <t>Macroeconomics and the Business Environment</t>
    </r>
  </si>
  <si>
    <t>Monday, 05:00 pm - 08:00 pm</t>
  </si>
  <si>
    <t>Faberman, Jason</t>
  </si>
  <si>
    <t>33050-85</t>
  </si>
  <si>
    <t>33112-01</t>
  </si>
  <si>
    <r>
      <rPr>
        <sz val="10"/>
        <color rgb="FF000000"/>
        <rFont val="Calibri"/>
        <family val="2"/>
      </rPr>
      <t>Business in Historical Perspective</t>
    </r>
  </si>
  <si>
    <t>Hornbeck, Richard</t>
  </si>
  <si>
    <t>33112-02</t>
  </si>
  <si>
    <t>33112-81</t>
  </si>
  <si>
    <t>33450-01</t>
  </si>
  <si>
    <r>
      <rPr>
        <sz val="10"/>
        <color rgb="FF000000"/>
        <rFont val="Calibri"/>
        <family val="2"/>
      </rPr>
      <t>Real Estate Investments I</t>
    </r>
  </si>
  <si>
    <t>Pagliari, Joseph</t>
  </si>
  <si>
    <t>33450-02</t>
  </si>
  <si>
    <t>33450-85</t>
  </si>
  <si>
    <t>33471-01</t>
  </si>
  <si>
    <r>
      <rPr>
        <sz val="10"/>
        <color rgb="FF000000"/>
        <rFont val="Calibri"/>
        <family val="2"/>
      </rPr>
      <t>Business, Politics, and Ethics</t>
    </r>
  </si>
  <si>
    <t>Barry, Brian</t>
  </si>
  <si>
    <t>33471-02</t>
  </si>
  <si>
    <t>Tuesday, 01:30 pm - 04:30 pm</t>
  </si>
  <si>
    <t>33471-03</t>
  </si>
  <si>
    <t>33471-81</t>
  </si>
  <si>
    <t>33501-81</t>
  </si>
  <si>
    <r>
      <rPr>
        <sz val="10"/>
        <color rgb="FF000000"/>
        <rFont val="Calibri"/>
        <family val="2"/>
      </rPr>
      <t>International Commercial Policy</t>
    </r>
  </si>
  <si>
    <t>Thursday, 6:00 pm - 9:00 pm</t>
  </si>
  <si>
    <t>Adao, Rodrigo</t>
  </si>
  <si>
    <t>33610-60</t>
  </si>
  <si>
    <r>
      <rPr>
        <sz val="10"/>
        <color rgb="FF000000"/>
        <rFont val="Calibri"/>
        <family val="2"/>
      </rPr>
      <t>Applied Economics Workshop</t>
    </r>
  </si>
  <si>
    <t>Wednesday, 01:20 pm - 02:50 pm</t>
  </si>
  <si>
    <t>Bertrand, Marianne; Kamenica, Emir</t>
  </si>
  <si>
    <t>33630-60</t>
  </si>
  <si>
    <r>
      <rPr>
        <sz val="10"/>
        <color rgb="FF000000"/>
        <rFont val="Calibri"/>
        <family val="2"/>
      </rPr>
      <t>Workshop: Money and Banking</t>
    </r>
  </si>
  <si>
    <t>Wednesday, 03:00 pm - 05:30 pm</t>
  </si>
  <si>
    <t>Staff, Staff</t>
  </si>
  <si>
    <t>33650-60</t>
  </si>
  <si>
    <r>
      <rPr>
        <sz val="10"/>
        <color rgb="FF000000"/>
        <rFont val="Calibri"/>
        <family val="2"/>
      </rPr>
      <t>Workshop in Macro and International Economics</t>
    </r>
  </si>
  <si>
    <t>Monday, 12:00 pm - 01:15 pm</t>
  </si>
  <si>
    <t>Lorenzoni, Guido; Vavra, Joseph</t>
  </si>
  <si>
    <t>33904-50</t>
  </si>
  <si>
    <r>
      <rPr>
        <sz val="10"/>
        <color rgb="FF000000"/>
        <rFont val="Calibri"/>
        <family val="2"/>
      </rPr>
      <t>Microeconomics Reading and Research Seminar</t>
    </r>
  </si>
  <si>
    <t>Wednesday, 04:00 pm - 05:30 pm</t>
  </si>
  <si>
    <t>Budish, Eric; Notowidigdo, Matthew</t>
  </si>
  <si>
    <t>33920-50</t>
  </si>
  <si>
    <r>
      <rPr>
        <sz val="10"/>
        <color rgb="FF000000"/>
        <rFont val="Calibri"/>
        <family val="2"/>
      </rPr>
      <t>Health Economics Literature Seminar</t>
    </r>
  </si>
  <si>
    <t>Monday, 1:30 pm - 3:00 pm</t>
  </si>
  <si>
    <t>Shapiro, Bradley</t>
  </si>
  <si>
    <t>33922-50</t>
  </si>
  <si>
    <r>
      <rPr>
        <sz val="10"/>
        <color rgb="FF000000"/>
        <rFont val="Calibri"/>
        <family val="2"/>
      </rPr>
      <t>Advanced Industrial Organization II</t>
    </r>
  </si>
  <si>
    <t>Thursday,Tuesday, 02:00 pm - 03:20 pm</t>
  </si>
  <si>
    <t>Hortacsu, Ali</t>
  </si>
  <si>
    <t>33931-50</t>
  </si>
  <si>
    <r>
      <rPr>
        <sz val="10"/>
        <color rgb="FF000000"/>
        <rFont val="Calibri"/>
        <family val="2"/>
      </rPr>
      <t>The Economics of Contracts</t>
    </r>
  </si>
  <si>
    <t>Thursday,Tuesday, 03:30 pm - 04:50 pm</t>
  </si>
  <si>
    <t>Frankel, Alexander</t>
  </si>
  <si>
    <t>34101-01</t>
  </si>
  <si>
    <r>
      <rPr>
        <sz val="10"/>
        <color rgb="FF000000"/>
        <rFont val="Calibri"/>
        <family val="2"/>
      </rPr>
      <t>Entrepreneurial Finance and Private Equity</t>
    </r>
  </si>
  <si>
    <t>Friday, 8:30 am - 11:30 am</t>
  </si>
  <si>
    <t>Meadow, Scott</t>
  </si>
  <si>
    <t>34101-85</t>
  </si>
  <si>
    <t>34102-01</t>
  </si>
  <si>
    <r>
      <rPr>
        <sz val="10"/>
        <color rgb="FF000000"/>
        <rFont val="Calibri"/>
        <family val="2"/>
      </rPr>
      <t>New Venture Strategy</t>
    </r>
  </si>
  <si>
    <t>Bunch, Gregory</t>
  </si>
  <si>
    <t>34102-81</t>
  </si>
  <si>
    <t>Schrager, James</t>
  </si>
  <si>
    <t>34102-85</t>
  </si>
  <si>
    <t>34103-01</t>
  </si>
  <si>
    <r>
      <rPr>
        <sz val="10"/>
        <color rgb="FF000000"/>
        <rFont val="Calibri"/>
        <family val="2"/>
      </rPr>
      <t>Building the New Venture</t>
    </r>
  </si>
  <si>
    <t>Wednesday, 8:30 am - 11:30 am</t>
  </si>
  <si>
    <t>Fried, Jennifer</t>
  </si>
  <si>
    <t>34103-85</t>
  </si>
  <si>
    <t>Elnick, Thomas; Mayekar, Samir</t>
  </si>
  <si>
    <t>34206-01</t>
  </si>
  <si>
    <r>
      <rPr>
        <sz val="10"/>
        <color rgb="FF000000"/>
        <rFont val="Calibri"/>
        <family val="2"/>
      </rPr>
      <t xml:space="preserve">Women As CEOs, Entrepreneurs, Investors, Executives &amp; Directors </t>
    </r>
  </si>
  <si>
    <t>Rapp, Alyssa</t>
  </si>
  <si>
    <t>34214-01</t>
  </si>
  <si>
    <r>
      <rPr>
        <sz val="10"/>
        <color rgb="FF000000"/>
        <rFont val="Calibri"/>
        <family val="2"/>
      </rPr>
      <t>User Experience Design for Intelligent Product-Service Systems</t>
    </r>
  </si>
  <si>
    <t>Tuesday, 02:00 pm - 03:30 pm</t>
  </si>
  <si>
    <t>Susani, Marco</t>
  </si>
  <si>
    <t>34215-01</t>
  </si>
  <si>
    <r>
      <rPr>
        <sz val="10"/>
        <color rgb="FF000000"/>
        <rFont val="Calibri"/>
        <family val="2"/>
      </rPr>
      <t>Structuring Investments and Investing in Structure</t>
    </r>
  </si>
  <si>
    <t>Wednesday, 1:30 pm - 4:30 pm</t>
  </si>
  <si>
    <t>Sussman, Jason</t>
  </si>
  <si>
    <t>34302-01</t>
  </si>
  <si>
    <r>
      <rPr>
        <sz val="10"/>
        <color rgb="FF000000"/>
        <rFont val="Calibri"/>
        <family val="2"/>
      </rPr>
      <t>Entrepreneurship through Acquisition</t>
    </r>
  </si>
  <si>
    <t>Agnew, Mark; O'Connor, Brian</t>
  </si>
  <si>
    <t>34308-81</t>
  </si>
  <si>
    <r>
      <rPr>
        <sz val="10"/>
        <color rgb="FF000000"/>
        <rFont val="Calibri"/>
        <family val="2"/>
      </rPr>
      <t>Legal Foundations for Entrepreneurship and VC/PE Investments</t>
    </r>
  </si>
  <si>
    <t>Gray, Michael</t>
  </si>
  <si>
    <t>34902-50</t>
  </si>
  <si>
    <r>
      <rPr>
        <sz val="10"/>
        <color rgb="FF000000"/>
        <rFont val="Calibri"/>
        <family val="2"/>
      </rPr>
      <t>Asset Pricing II</t>
    </r>
  </si>
  <si>
    <t>Tuesday, 8:30 am - 11:30 am</t>
  </si>
  <si>
    <t>Nagel, Stefan; Xiu, Dacheng</t>
  </si>
  <si>
    <t>34904-50</t>
  </si>
  <si>
    <r>
      <rPr>
        <sz val="10"/>
        <color rgb="FF000000"/>
        <rFont val="Calibri"/>
        <family val="2"/>
      </rPr>
      <t>Corporate Finance II</t>
    </r>
  </si>
  <si>
    <t>Monday,Wednesday, 10:10 am - 11:30 am</t>
  </si>
  <si>
    <t>Sufi, Amir</t>
  </si>
  <si>
    <t>35000-01</t>
  </si>
  <si>
    <r>
      <rPr>
        <sz val="10"/>
        <color rgb="FF000000"/>
        <rFont val="Calibri"/>
        <family val="2"/>
      </rPr>
      <t>Investments</t>
    </r>
  </si>
  <si>
    <t>Vandeweyer, Quentin</t>
  </si>
  <si>
    <t>35000-02</t>
  </si>
  <si>
    <t>35000-03</t>
  </si>
  <si>
    <t>Cassidy, William</t>
  </si>
  <si>
    <t>35000-04</t>
  </si>
  <si>
    <t>35000-81</t>
  </si>
  <si>
    <t>35000-85</t>
  </si>
  <si>
    <t>35001-01</t>
  </si>
  <si>
    <r>
      <rPr>
        <sz val="10"/>
        <color rgb="FF000000"/>
        <rFont val="Calibri"/>
        <family val="2"/>
      </rPr>
      <t>Introductory Finance</t>
    </r>
  </si>
  <si>
    <t>Constantinides, George</t>
  </si>
  <si>
    <t>35001-85</t>
  </si>
  <si>
    <t>35010-01</t>
  </si>
  <si>
    <r>
      <rPr>
        <sz val="10"/>
        <color rgb="FF000000"/>
        <rFont val="Calibri"/>
        <family val="2"/>
      </rPr>
      <t>Managerial Finance</t>
    </r>
  </si>
  <si>
    <t>35100-01</t>
  </si>
  <si>
    <r>
      <rPr>
        <sz val="10"/>
        <color rgb="FF000000"/>
        <rFont val="Calibri"/>
        <family val="2"/>
      </rPr>
      <t>Financial Instruments</t>
    </r>
  </si>
  <si>
    <t>Boonstra, Brian</t>
  </si>
  <si>
    <t>35126-02</t>
  </si>
  <si>
    <r>
      <rPr>
        <sz val="10"/>
        <color rgb="FF000000"/>
        <rFont val="Calibri"/>
        <family val="2"/>
      </rPr>
      <t>Quantitative Portfolio Management</t>
    </r>
  </si>
  <si>
    <t>Koijen, Ralph</t>
  </si>
  <si>
    <t>35126-01</t>
  </si>
  <si>
    <t>35126-81</t>
  </si>
  <si>
    <t>35137-01</t>
  </si>
  <si>
    <r>
      <rPr>
        <sz val="10"/>
        <color rgb="FF000000"/>
        <rFont val="Calibri"/>
        <family val="2"/>
      </rPr>
      <t>Machine Learning in Finance</t>
    </r>
  </si>
  <si>
    <t>Bybee, Leland</t>
  </si>
  <si>
    <t>35137-81</t>
  </si>
  <si>
    <t>35200-01</t>
  </si>
  <si>
    <r>
      <rPr>
        <sz val="10"/>
        <color rgb="FF000000"/>
        <rFont val="Calibri"/>
        <family val="2"/>
      </rPr>
      <t>Corporation Finance</t>
    </r>
  </si>
  <si>
    <t>Noel, Pascal</t>
  </si>
  <si>
    <t>35200-02</t>
  </si>
  <si>
    <t>35200-81</t>
  </si>
  <si>
    <t>Kashyap, Anil</t>
  </si>
  <si>
    <t>35201-01</t>
  </si>
  <si>
    <r>
      <rPr>
        <sz val="10"/>
        <color rgb="FF000000"/>
        <rFont val="Calibri"/>
        <family val="2"/>
      </rPr>
      <t>Cases in Financial Management</t>
    </r>
  </si>
  <si>
    <t>Born, Laura</t>
  </si>
  <si>
    <t>35207-01</t>
  </si>
  <si>
    <r>
      <rPr>
        <sz val="10"/>
        <color rgb="FF000000"/>
        <rFont val="Calibri"/>
        <family val="2"/>
      </rPr>
      <t>Consumer Finance</t>
    </r>
  </si>
  <si>
    <t>Nelson, Scott</t>
  </si>
  <si>
    <t>35207-85</t>
  </si>
  <si>
    <t>35213-01</t>
  </si>
  <si>
    <r>
      <rPr>
        <sz val="10"/>
        <color rgb="FF000000"/>
        <rFont val="Calibri"/>
        <family val="2"/>
      </rPr>
      <t>Emerging Markets Finance and Entrepreneurship</t>
    </r>
  </si>
  <si>
    <t>Monday, 8:30 am - 11:30 am</t>
  </si>
  <si>
    <t>Colonnelli, Emanuele</t>
  </si>
  <si>
    <t>35600-60</t>
  </si>
  <si>
    <r>
      <rPr>
        <sz val="10"/>
        <color rgb="FF000000"/>
        <rFont val="Calibri"/>
        <family val="2"/>
      </rPr>
      <t>Seminar: Finance</t>
    </r>
  </si>
  <si>
    <t>Tuesday, 01:20 pm - 02:50 pm</t>
  </si>
  <si>
    <t>Koijen, Ralph; Sufi, Amir</t>
  </si>
  <si>
    <t>35916-50</t>
  </si>
  <si>
    <r>
      <rPr>
        <sz val="10"/>
        <color rgb="FF000000"/>
        <rFont val="Calibri"/>
        <family val="2"/>
      </rPr>
      <t>New Developments in Public Finance</t>
    </r>
  </si>
  <si>
    <t>Monday, 01:20 pm - 04:20 pm</t>
  </si>
  <si>
    <t>Ganong, Peter; Noel, Pascal; Zwick, Eric</t>
  </si>
  <si>
    <t>35931-02</t>
  </si>
  <si>
    <r>
      <rPr>
        <sz val="10"/>
        <color rgb="FF000000"/>
        <rFont val="Calibri"/>
        <family val="2"/>
      </rPr>
      <t>Research Seminar</t>
    </r>
  </si>
  <si>
    <t>Monday, 3:00 pm - 4:20 pm</t>
  </si>
  <si>
    <t>Patterson, Christina; Rossi-Hansberg, Esteban</t>
  </si>
  <si>
    <t>35931-50</t>
  </si>
  <si>
    <t>Tuesday, 04:00 pm - 05:30 pm</t>
  </si>
  <si>
    <t>Nagel, Stefan; Noel, Pascal; Zhang, Anthony</t>
  </si>
  <si>
    <t>36106-01</t>
  </si>
  <si>
    <r>
      <rPr>
        <sz val="10"/>
        <color rgb="FF000000"/>
        <rFont val="Calibri"/>
        <family val="2"/>
      </rPr>
      <t>Managerial Decision Modeling</t>
    </r>
  </si>
  <si>
    <t>Sandikci, Burhaneddin</t>
  </si>
  <si>
    <t>36106-02</t>
  </si>
  <si>
    <t>36106-85</t>
  </si>
  <si>
    <t>36109-01</t>
  </si>
  <si>
    <r>
      <rPr>
        <sz val="10"/>
        <color rgb="FF000000"/>
        <rFont val="Calibri"/>
        <family val="2"/>
      </rPr>
      <t>Advanced Decision Models with Python</t>
    </r>
  </si>
  <si>
    <t>Eisenstein, Donald</t>
  </si>
  <si>
    <t>36109-02</t>
  </si>
  <si>
    <t>Wednesday, 01:30 pm - 04:30 pm</t>
  </si>
  <si>
    <t>36109-81</t>
  </si>
  <si>
    <t>36110-01</t>
  </si>
  <si>
    <r>
      <rPr>
        <sz val="10"/>
        <color rgb="FF000000"/>
        <rFont val="Calibri"/>
        <family val="2"/>
      </rPr>
      <t>Application Development</t>
    </r>
  </si>
  <si>
    <t>Betina, Raghu</t>
  </si>
  <si>
    <t>36110-02</t>
  </si>
  <si>
    <t>36600-60</t>
  </si>
  <si>
    <r>
      <rPr>
        <sz val="10"/>
        <color rgb="FF000000"/>
        <rFont val="Calibri"/>
        <family val="2"/>
      </rPr>
      <t>Workshop in Operations/Management Science</t>
    </r>
  </si>
  <si>
    <t>Tuesday, 12:10 pm - 01:10 pm</t>
  </si>
  <si>
    <t>Candogan, Ozan</t>
  </si>
  <si>
    <t>36914-50</t>
  </si>
  <si>
    <r>
      <rPr>
        <sz val="10"/>
        <color rgb="FF000000"/>
        <rFont val="Calibri"/>
        <family val="2"/>
      </rPr>
      <t>Queueing Theory</t>
    </r>
  </si>
  <si>
    <t>Friday, 09:00 am - 12:00 pm</t>
  </si>
  <si>
    <t>Zhong, Yuan</t>
  </si>
  <si>
    <t>37000-01</t>
  </si>
  <si>
    <r>
      <rPr>
        <sz val="10"/>
        <color rgb="FF000000"/>
        <rFont val="Calibri"/>
        <family val="2"/>
      </rPr>
      <t>Marketing Strategy</t>
    </r>
  </si>
  <si>
    <t>Smith, Stephanie</t>
  </si>
  <si>
    <t>37000-02</t>
  </si>
  <si>
    <t>Hu, Beidi</t>
  </si>
  <si>
    <t>37000-03</t>
  </si>
  <si>
    <t>37000-04</t>
  </si>
  <si>
    <t>37000-81</t>
  </si>
  <si>
    <t>37101-01</t>
  </si>
  <si>
    <r>
      <rPr>
        <sz val="10"/>
        <color rgb="FF000000"/>
        <rFont val="Calibri"/>
        <family val="2"/>
      </rPr>
      <t>Consumer Behavior</t>
    </r>
  </si>
  <si>
    <t>Bartels, Daniel</t>
  </si>
  <si>
    <t>37101-02</t>
  </si>
  <si>
    <t>37101-81</t>
  </si>
  <si>
    <t>37103-01</t>
  </si>
  <si>
    <r>
      <rPr>
        <sz val="10"/>
        <color rgb="FF000000"/>
        <rFont val="Calibri"/>
        <family val="2"/>
      </rPr>
      <t>Data-Driven Marketing</t>
    </r>
  </si>
  <si>
    <t>Hitsch, Guenter</t>
  </si>
  <si>
    <t>37202-01</t>
  </si>
  <si>
    <r>
      <rPr>
        <sz val="10"/>
        <color rgb="FF000000"/>
        <rFont val="Calibri"/>
        <family val="2"/>
      </rPr>
      <t>Pricing Strategies</t>
    </r>
  </si>
  <si>
    <t>Rossi, Federico</t>
  </si>
  <si>
    <t>37202-02</t>
  </si>
  <si>
    <t>37209-01</t>
  </si>
  <si>
    <r>
      <rPr>
        <sz val="10"/>
        <color rgb="FF000000"/>
        <rFont val="Calibri"/>
        <family val="2"/>
      </rPr>
      <t>Brand Management in a Digital Age</t>
    </r>
  </si>
  <si>
    <t>Hafen, Tom</t>
  </si>
  <si>
    <t>37212-01</t>
  </si>
  <si>
    <r>
      <rPr>
        <sz val="10"/>
        <color rgb="FF000000"/>
        <rFont val="Calibri"/>
        <family val="2"/>
      </rPr>
      <t>Business with Purpose</t>
    </r>
  </si>
  <si>
    <t>Sussman, Abigail</t>
  </si>
  <si>
    <t>37212-81</t>
  </si>
  <si>
    <t>37601-60</t>
  </si>
  <si>
    <r>
      <rPr>
        <sz val="10"/>
        <color rgb="FF000000"/>
        <rFont val="Calibri"/>
        <family val="2"/>
      </rPr>
      <t>Marketing Workshop</t>
    </r>
  </si>
  <si>
    <t>Tuesday, 10:40 am - 12:00 pm</t>
  </si>
  <si>
    <t>Compiani, Giovanni; Donnelly, Kristin</t>
  </si>
  <si>
    <t>37902-50</t>
  </si>
  <si>
    <r>
      <rPr>
        <sz val="10"/>
        <color rgb="FF000000"/>
        <rFont val="Calibri"/>
        <family val="2"/>
      </rPr>
      <t>Foundations of Advanced Quantitative Marketing</t>
    </r>
  </si>
  <si>
    <t>Monday, 4:45 pm - 7:45 pm</t>
  </si>
  <si>
    <t>Chintagunta, Pradeep</t>
  </si>
  <si>
    <t>37904-50</t>
  </si>
  <si>
    <r>
      <rPr>
        <sz val="10"/>
        <color rgb="FF000000"/>
        <rFont val="Calibri"/>
        <family val="2"/>
      </rPr>
      <t>Advanced Quantitative Marketing</t>
    </r>
  </si>
  <si>
    <t>Dubé, Jean-Pierre; Hitsch, Guenter</t>
  </si>
  <si>
    <t>37905-50</t>
  </si>
  <si>
    <r>
      <rPr>
        <sz val="10"/>
        <color rgb="FF000000"/>
        <rFont val="Calibri"/>
        <family val="2"/>
      </rPr>
      <t>Marketing Literature Seminar</t>
    </r>
  </si>
  <si>
    <t>Compiani, Giovanni; Dietvorst, Berkeley</t>
  </si>
  <si>
    <t>37907-50</t>
  </si>
  <si>
    <r>
      <rPr>
        <sz val="10"/>
        <color rgb="FF000000"/>
        <rFont val="Calibri"/>
        <family val="2"/>
      </rPr>
      <t>Behavioral Science Research Methods in Marketing</t>
    </r>
  </si>
  <si>
    <t>Thursday, 9:00 am - 12:00 pm</t>
  </si>
  <si>
    <t>Urminsky, Oleg</t>
  </si>
  <si>
    <t>38001-01</t>
  </si>
  <si>
    <r>
      <rPr>
        <sz val="10"/>
        <color rgb="FF000000"/>
        <rFont val="Calibri"/>
        <family val="2"/>
      </rPr>
      <t>Managing in Organizations</t>
    </r>
  </si>
  <si>
    <t>Koch, Alex</t>
  </si>
  <si>
    <t>38001-02</t>
  </si>
  <si>
    <t>38002-01</t>
  </si>
  <si>
    <r>
      <rPr>
        <sz val="10"/>
        <color rgb="FF000000"/>
        <rFont val="Calibri"/>
        <family val="2"/>
      </rPr>
      <t>Managerial Decision Making</t>
    </r>
  </si>
  <si>
    <t>Thursday, 1:30 pm - 4:30 pm</t>
  </si>
  <si>
    <t>Hastie, Reid</t>
  </si>
  <si>
    <t>38002-85</t>
  </si>
  <si>
    <t>38103-01</t>
  </si>
  <si>
    <r>
      <rPr>
        <sz val="10"/>
        <color rgb="FF000000"/>
        <rFont val="Calibri"/>
        <family val="2"/>
      </rPr>
      <t>Strategies and Processes of Negotiation</t>
    </r>
  </si>
  <si>
    <t>Wittenbrink, Bernd</t>
  </si>
  <si>
    <t>38103-02</t>
  </si>
  <si>
    <t>Zinchenko, Elena</t>
  </si>
  <si>
    <t>38103-03</t>
  </si>
  <si>
    <t>Burrows, John</t>
  </si>
  <si>
    <t>38103-04</t>
  </si>
  <si>
    <t>38103-05</t>
  </si>
  <si>
    <t>38103-81</t>
  </si>
  <si>
    <t>38107-81</t>
  </si>
  <si>
    <r>
      <rPr>
        <sz val="10"/>
        <color rgb="FF000000"/>
        <rFont val="Calibri"/>
        <family val="2"/>
      </rPr>
      <t>Crafting and Delivering Persuasive Narratives</t>
    </r>
  </si>
  <si>
    <t>Weitzman, Hal</t>
  </si>
  <si>
    <t>38115-85</t>
  </si>
  <si>
    <r>
      <rPr>
        <sz val="10"/>
        <color rgb="FF000000"/>
        <rFont val="Calibri"/>
        <family val="2"/>
      </rPr>
      <t>Ethics of Business</t>
    </r>
  </si>
  <si>
    <t>Rollert, John</t>
  </si>
  <si>
    <t>38119-01</t>
  </si>
  <si>
    <r>
      <rPr>
        <sz val="10"/>
        <color rgb="FF000000"/>
        <rFont val="Calibri"/>
        <family val="2"/>
      </rPr>
      <t>Designing a Good Life</t>
    </r>
  </si>
  <si>
    <t>Epley, Nicholas</t>
  </si>
  <si>
    <t>38119-81</t>
  </si>
  <si>
    <t>38119-02</t>
  </si>
  <si>
    <t>38120-01</t>
  </si>
  <si>
    <r>
      <rPr>
        <sz val="10"/>
        <color rgb="FF000000"/>
        <rFont val="Calibri"/>
        <family val="2"/>
      </rPr>
      <t>The Study of Behavioral Economics</t>
    </r>
  </si>
  <si>
    <t>Pope, Devin</t>
  </si>
  <si>
    <t>38120-02</t>
  </si>
  <si>
    <t>38120-81</t>
  </si>
  <si>
    <t>38122-01</t>
  </si>
  <si>
    <r>
      <rPr>
        <sz val="10"/>
        <color rgb="FF000000"/>
        <rFont val="Calibri"/>
        <family val="2"/>
      </rPr>
      <t>Diversity in Organizations</t>
    </r>
  </si>
  <si>
    <t>Risen, Jane</t>
  </si>
  <si>
    <t>38122-81</t>
  </si>
  <si>
    <t>38601-60</t>
  </si>
  <si>
    <r>
      <rPr>
        <sz val="10"/>
        <color rgb="FF000000"/>
        <rFont val="Calibri"/>
        <family val="2"/>
      </rPr>
      <t>Workshop in Behavioral Science</t>
    </r>
  </si>
  <si>
    <t>Monday, 10:10 am - 11:30 am</t>
  </si>
  <si>
    <t>Fishbach, Ayelet; Todorov, Alexander</t>
  </si>
  <si>
    <t>38901-50</t>
  </si>
  <si>
    <r>
      <rPr>
        <sz val="10"/>
        <color rgb="FF000000"/>
        <rFont val="Calibri"/>
        <family val="2"/>
      </rPr>
      <t>Current Topics in Behavioral Science I</t>
    </r>
  </si>
  <si>
    <t>Wednesday, 03:30 pm - 06:30 pm</t>
  </si>
  <si>
    <t>Chaudhry, Shereen; Todorov, Alexander</t>
  </si>
  <si>
    <t>39001-01</t>
  </si>
  <si>
    <r>
      <rPr>
        <sz val="10"/>
        <color rgb="FF000000"/>
        <rFont val="Calibri"/>
        <family val="2"/>
      </rPr>
      <t>Strategy and Structure: Markets and Organizations</t>
    </r>
  </si>
  <si>
    <t>Li, Ningzi</t>
  </si>
  <si>
    <t>40000-01</t>
  </si>
  <si>
    <r>
      <rPr>
        <sz val="10"/>
        <color rgb="FF000000"/>
        <rFont val="Calibri"/>
        <family val="2"/>
      </rPr>
      <t>Operations Management: Business Process Fundamentals</t>
    </r>
  </si>
  <si>
    <t>40000-02</t>
  </si>
  <si>
    <t>40101-01</t>
  </si>
  <si>
    <r>
      <rPr>
        <sz val="10"/>
        <color rgb="FF000000"/>
        <rFont val="Calibri"/>
        <family val="2"/>
      </rPr>
      <t>Supply Chain Strategy and Practice</t>
    </r>
  </si>
  <si>
    <t>DeValve, Levi</t>
  </si>
  <si>
    <t>40101-02</t>
  </si>
  <si>
    <t>40101-81</t>
  </si>
  <si>
    <t>40206-01</t>
  </si>
  <si>
    <r>
      <rPr>
        <sz val="10"/>
        <color rgb="FF000000"/>
        <rFont val="Calibri"/>
        <family val="2"/>
      </rPr>
      <t>Healthcare Business Analytics</t>
    </r>
  </si>
  <si>
    <t>Thursday, 02:00 pm - 05:00 pm</t>
  </si>
  <si>
    <t>Adelman, Dan</t>
  </si>
  <si>
    <t>40206-81</t>
  </si>
  <si>
    <t>40915-50</t>
  </si>
  <si>
    <r>
      <rPr>
        <sz val="10"/>
        <color rgb="FF000000"/>
        <rFont val="Calibri"/>
        <family val="2"/>
      </rPr>
      <t>Frontiers in AI for Operational Decision-Making</t>
    </r>
  </si>
  <si>
    <t>41000-01</t>
  </si>
  <si>
    <r>
      <rPr>
        <sz val="10"/>
        <color rgb="FF000000"/>
        <rFont val="Calibri"/>
        <family val="2"/>
      </rPr>
      <t>Business Statistics</t>
    </r>
  </si>
  <si>
    <t>Aragam, Bryon</t>
  </si>
  <si>
    <t>41000-02</t>
  </si>
  <si>
    <t>Friday, 08:30 am - 11:30 am</t>
  </si>
  <si>
    <t>41000-03</t>
  </si>
  <si>
    <t>Liang, Tengyuan</t>
  </si>
  <si>
    <t>41000-81</t>
  </si>
  <si>
    <t>41000-85</t>
  </si>
  <si>
    <t>41100-02</t>
  </si>
  <si>
    <r>
      <rPr>
        <sz val="10"/>
        <color rgb="FF000000"/>
        <rFont val="Calibri"/>
        <family val="2"/>
      </rPr>
      <t>Applied Regression Analysis</t>
    </r>
  </si>
  <si>
    <t>Toulis (Panos), Panagiotis</t>
  </si>
  <si>
    <t>41100-01</t>
  </si>
  <si>
    <t>41203-81</t>
  </si>
  <si>
    <r>
      <rPr>
        <sz val="10"/>
        <color rgb="FF000000"/>
        <rFont val="Calibri"/>
        <family val="2"/>
      </rPr>
      <t>Financial Econometrics</t>
    </r>
  </si>
  <si>
    <t>Russell, Jeffrey</t>
  </si>
  <si>
    <t>41207-01</t>
  </si>
  <si>
    <r>
      <rPr>
        <sz val="10"/>
        <color rgb="FF000000"/>
        <rFont val="Calibri"/>
        <family val="2"/>
      </rPr>
      <t>Causal Inference for Business Applications</t>
    </r>
  </si>
  <si>
    <t>41600-60</t>
  </si>
  <si>
    <r>
      <rPr>
        <sz val="10"/>
        <color rgb="FF000000"/>
        <rFont val="Calibri"/>
        <family val="2"/>
      </rPr>
      <t>Econometrics and Statistics Colloquium</t>
    </r>
  </si>
  <si>
    <t>Thursday, 01:20 pm - 02:30 pm</t>
  </si>
  <si>
    <t>Hansen, Christian</t>
  </si>
  <si>
    <t>41902-50</t>
  </si>
  <si>
    <r>
      <rPr>
        <sz val="10"/>
        <color rgb="FF000000"/>
        <rFont val="Calibri"/>
        <family val="2"/>
      </rPr>
      <t>Statistical Inference</t>
    </r>
  </si>
  <si>
    <t>Xiu, Dacheng</t>
  </si>
  <si>
    <t>41910-50</t>
  </si>
  <si>
    <r>
      <rPr>
        <sz val="10"/>
        <color rgb="FF000000"/>
        <rFont val="Calibri"/>
        <family val="2"/>
      </rPr>
      <t>Time-series Analysis for Forecasting and Model Building</t>
    </r>
  </si>
  <si>
    <t>Friday, 1:30 pm - 4:30 pm</t>
  </si>
  <si>
    <t>42001-01</t>
  </si>
  <si>
    <r>
      <rPr>
        <sz val="10"/>
        <color rgb="FF000000"/>
        <rFont val="Calibri"/>
        <family val="2"/>
      </rPr>
      <t>Competitive Strategy</t>
    </r>
  </si>
  <si>
    <t>Humlum, Anders</t>
  </si>
  <si>
    <t>42001-02</t>
  </si>
  <si>
    <t>42001-03</t>
  </si>
  <si>
    <t>Almagro, Milena</t>
  </si>
  <si>
    <t>42001-04</t>
  </si>
  <si>
    <t>Tuesday, 05:00 pm - 08:00 pm</t>
  </si>
  <si>
    <t>42001-81</t>
  </si>
  <si>
    <t>42108-01</t>
  </si>
  <si>
    <r>
      <rPr>
        <sz val="10"/>
        <color rgb="FF000000"/>
        <rFont val="Calibri"/>
        <family val="2"/>
      </rPr>
      <t>Corporate Governance</t>
    </r>
  </si>
  <si>
    <t>Friday, 01:30 pm - 04:30 pm</t>
  </si>
  <si>
    <t>Chookaszian, Dennis</t>
  </si>
  <si>
    <t>42108-81</t>
  </si>
  <si>
    <t>Friday, 6:00 pm - 9:00 pm</t>
  </si>
  <si>
    <t>42121-81</t>
  </si>
  <si>
    <r>
      <rPr>
        <sz val="10"/>
        <color rgb="FF000000"/>
        <rFont val="Calibri"/>
        <family val="2"/>
      </rPr>
      <t>Merger &amp; Acquisition Strategy</t>
    </r>
  </si>
  <si>
    <t>Morrissette, Stephen</t>
  </si>
  <si>
    <t>42129-81</t>
  </si>
  <si>
    <r>
      <rPr>
        <sz val="10"/>
        <color rgb="FF000000"/>
        <rFont val="Calibri"/>
        <family val="2"/>
      </rPr>
      <t>The Political Economy of Climate Change</t>
    </r>
  </si>
  <si>
    <t>Wheat, Chris</t>
  </si>
  <si>
    <t>42133-01</t>
  </si>
  <si>
    <r>
      <rPr>
        <sz val="10"/>
        <color rgb="FF000000"/>
        <rFont val="Calibri"/>
        <family val="2"/>
      </rPr>
      <t>Media Power: How Media Influences Business, Markets and Regulations</t>
    </r>
  </si>
  <si>
    <t>Rolnik, Guy</t>
  </si>
  <si>
    <t>42133-81</t>
  </si>
  <si>
    <t>42133-85</t>
  </si>
  <si>
    <t>42715-01</t>
  </si>
  <si>
    <r>
      <rPr>
        <sz val="10"/>
        <color rgb="FF000000"/>
        <rFont val="Calibri"/>
        <family val="2"/>
      </rPr>
      <t>Strategy Simulation: Creating Value in Complex and Ambiguous Settings</t>
    </r>
  </si>
  <si>
    <t>Fitzgerald, Kathleen</t>
  </si>
  <si>
    <t>42715-81</t>
  </si>
  <si>
    <t>43100-01</t>
  </si>
  <si>
    <r>
      <rPr>
        <sz val="10"/>
        <color rgb="FF000000"/>
        <rFont val="Calibri"/>
        <family val="2"/>
      </rPr>
      <t>AI Essentials</t>
    </r>
  </si>
  <si>
    <t>43120-01</t>
  </si>
  <si>
    <r>
      <rPr>
        <sz val="10"/>
        <color rgb="FF000000"/>
        <rFont val="Calibri"/>
        <family val="2"/>
      </rPr>
      <t>Building an AI Company</t>
    </r>
  </si>
  <si>
    <t>Ganoza, Carlos</t>
  </si>
  <si>
    <t>43950-50</t>
  </si>
  <si>
    <r>
      <rPr>
        <sz val="10"/>
        <color rgb="FF000000"/>
        <rFont val="Calibri"/>
        <family val="2"/>
      </rPr>
      <t>Research Topics in Generative AI</t>
    </r>
  </si>
  <si>
    <t>44101-01</t>
  </si>
  <si>
    <r>
      <rPr>
        <sz val="10"/>
        <color rgb="FF000000"/>
        <rFont val="Calibri"/>
        <family val="2"/>
      </rPr>
      <t>Voice of a Leader: Speaking with Executive Presence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</si>
</sst>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1D85-F0DC-4369-B019-0B7B113EADA5}">
  <sheetPr>
    <tabColor theme="4" tint="0.79998168889431442"/>
  </sheetPr>
  <dimension ref="A1:S1000"/>
  <sheetViews>
    <sheetView showGridLines="0" tabSelected="1" zoomScale="87" workbookViewId="0">
      <selection activeCell="T8" sqref="T8"/>
    </sheetView>
  </sheetViews>
  <sheetFormatPr defaultColWidth="14.44140625" defaultRowHeight="15" customHeight="1" x14ac:dyDescent="0.3"/>
  <sheetData>
    <row r="1" spans="1:19" ht="13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8" x14ac:dyDescent="0.3">
      <c r="A2" t="str">
        <f>LEFT(B2,5)</f>
        <v>30000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53</v>
      </c>
      <c r="I2">
        <v>12</v>
      </c>
      <c r="J2">
        <v>0</v>
      </c>
      <c r="K2">
        <v>49</v>
      </c>
      <c r="L2">
        <v>16</v>
      </c>
      <c r="M2">
        <v>0</v>
      </c>
      <c r="P2" t="s">
        <v>25</v>
      </c>
      <c r="Q2">
        <v>51</v>
      </c>
      <c r="R2">
        <v>14</v>
      </c>
      <c r="S2">
        <v>0</v>
      </c>
    </row>
    <row r="3" spans="1:19" ht="13.8" x14ac:dyDescent="0.3">
      <c r="A3" t="str">
        <f>LEFT(B3,5)</f>
        <v>30000</v>
      </c>
      <c r="B3" t="s">
        <v>26</v>
      </c>
      <c r="C3" t="s">
        <v>20</v>
      </c>
      <c r="D3" t="s">
        <v>21</v>
      </c>
      <c r="E3" t="s">
        <v>22</v>
      </c>
      <c r="F3" t="s">
        <v>27</v>
      </c>
      <c r="G3" t="s">
        <v>24</v>
      </c>
      <c r="H3">
        <v>44</v>
      </c>
      <c r="I3">
        <v>21</v>
      </c>
      <c r="J3">
        <v>0</v>
      </c>
      <c r="K3">
        <v>46</v>
      </c>
      <c r="L3">
        <v>19</v>
      </c>
      <c r="M3">
        <v>0</v>
      </c>
      <c r="P3" t="s">
        <v>25</v>
      </c>
      <c r="Q3">
        <v>43</v>
      </c>
      <c r="R3">
        <v>22</v>
      </c>
      <c r="S3">
        <v>0</v>
      </c>
    </row>
    <row r="4" spans="1:19" ht="13.8" x14ac:dyDescent="0.3">
      <c r="A4" t="str">
        <f>LEFT(B4,5)</f>
        <v>30000</v>
      </c>
      <c r="B4" t="s">
        <v>28</v>
      </c>
      <c r="C4" t="s">
        <v>20</v>
      </c>
      <c r="D4" t="s">
        <v>21</v>
      </c>
      <c r="E4" t="s">
        <v>22</v>
      </c>
      <c r="F4" t="s">
        <v>29</v>
      </c>
      <c r="G4" t="s">
        <v>24</v>
      </c>
      <c r="H4">
        <v>26</v>
      </c>
      <c r="I4">
        <v>39</v>
      </c>
      <c r="J4">
        <v>0</v>
      </c>
      <c r="K4">
        <v>26</v>
      </c>
      <c r="L4">
        <v>39</v>
      </c>
      <c r="M4">
        <v>0</v>
      </c>
      <c r="N4">
        <v>40</v>
      </c>
      <c r="O4">
        <v>25</v>
      </c>
      <c r="P4">
        <v>0</v>
      </c>
      <c r="Q4">
        <v>54</v>
      </c>
      <c r="R4">
        <v>11</v>
      </c>
      <c r="S4">
        <v>0</v>
      </c>
    </row>
    <row r="5" spans="1:19" ht="13.8" x14ac:dyDescent="0.3">
      <c r="A5" t="str">
        <f>LEFT(B5,5)</f>
        <v>30000</v>
      </c>
      <c r="B5" t="s">
        <v>30</v>
      </c>
      <c r="C5" t="s">
        <v>20</v>
      </c>
      <c r="D5" t="s">
        <v>21</v>
      </c>
      <c r="E5" t="s">
        <v>22</v>
      </c>
      <c r="F5" t="s">
        <v>31</v>
      </c>
      <c r="G5" t="s">
        <v>32</v>
      </c>
      <c r="H5">
        <v>12</v>
      </c>
      <c r="I5">
        <v>53</v>
      </c>
      <c r="J5">
        <v>0</v>
      </c>
      <c r="K5">
        <v>13</v>
      </c>
      <c r="L5">
        <v>52</v>
      </c>
      <c r="M5">
        <v>0</v>
      </c>
      <c r="N5">
        <v>30</v>
      </c>
      <c r="O5">
        <v>35</v>
      </c>
      <c r="P5">
        <v>0</v>
      </c>
      <c r="Q5">
        <v>26</v>
      </c>
      <c r="R5">
        <v>39</v>
      </c>
      <c r="S5">
        <v>0</v>
      </c>
    </row>
    <row r="6" spans="1:19" ht="13.8" x14ac:dyDescent="0.3">
      <c r="A6" t="str">
        <f>LEFT(B6,5)</f>
        <v>30005</v>
      </c>
      <c r="B6" t="s">
        <v>33</v>
      </c>
      <c r="C6" t="s">
        <v>34</v>
      </c>
      <c r="D6" t="s">
        <v>21</v>
      </c>
      <c r="E6" t="s">
        <v>22</v>
      </c>
      <c r="F6" t="s">
        <v>35</v>
      </c>
      <c r="G6" t="s">
        <v>36</v>
      </c>
      <c r="H6">
        <v>70</v>
      </c>
      <c r="I6" t="s">
        <v>37</v>
      </c>
      <c r="J6">
        <v>0</v>
      </c>
      <c r="K6">
        <v>70</v>
      </c>
      <c r="L6" t="s">
        <v>37</v>
      </c>
      <c r="M6">
        <v>0</v>
      </c>
      <c r="N6">
        <v>70</v>
      </c>
      <c r="O6" t="s">
        <v>37</v>
      </c>
      <c r="P6">
        <v>0</v>
      </c>
      <c r="Q6">
        <v>70</v>
      </c>
      <c r="R6" t="s">
        <v>37</v>
      </c>
      <c r="S6">
        <v>8000</v>
      </c>
    </row>
    <row r="7" spans="1:19" ht="13.8" x14ac:dyDescent="0.3">
      <c r="A7" t="str">
        <f>LEFT(B7,5)</f>
        <v>30005</v>
      </c>
      <c r="B7" t="s">
        <v>38</v>
      </c>
      <c r="C7" t="s">
        <v>34</v>
      </c>
      <c r="D7" t="s">
        <v>21</v>
      </c>
      <c r="E7" t="s">
        <v>22</v>
      </c>
      <c r="F7" t="s">
        <v>39</v>
      </c>
      <c r="G7" t="s">
        <v>36</v>
      </c>
      <c r="H7">
        <v>70</v>
      </c>
      <c r="I7" t="s">
        <v>37</v>
      </c>
      <c r="J7">
        <v>1500</v>
      </c>
      <c r="K7">
        <v>70</v>
      </c>
      <c r="L7" t="s">
        <v>37</v>
      </c>
      <c r="M7">
        <v>6151</v>
      </c>
      <c r="N7">
        <v>70</v>
      </c>
      <c r="O7" t="s">
        <v>37</v>
      </c>
      <c r="P7">
        <v>0</v>
      </c>
      <c r="Q7">
        <v>70</v>
      </c>
      <c r="R7" t="s">
        <v>37</v>
      </c>
      <c r="S7">
        <v>5000</v>
      </c>
    </row>
    <row r="8" spans="1:19" ht="13.8" x14ac:dyDescent="0.3">
      <c r="A8" t="str">
        <f>LEFT(B8,5)</f>
        <v>30005</v>
      </c>
      <c r="B8" t="s">
        <v>40</v>
      </c>
      <c r="C8" t="s">
        <v>34</v>
      </c>
      <c r="D8" t="s">
        <v>21</v>
      </c>
      <c r="E8" t="s">
        <v>22</v>
      </c>
      <c r="F8" t="s">
        <v>41</v>
      </c>
      <c r="G8" t="s">
        <v>36</v>
      </c>
      <c r="H8">
        <v>65</v>
      </c>
      <c r="I8" t="s">
        <v>37</v>
      </c>
      <c r="J8">
        <v>1</v>
      </c>
      <c r="K8">
        <v>65</v>
      </c>
      <c r="L8" t="s">
        <v>37</v>
      </c>
      <c r="M8">
        <v>804</v>
      </c>
      <c r="N8">
        <v>65</v>
      </c>
      <c r="O8" t="s">
        <v>37</v>
      </c>
      <c r="P8">
        <v>0</v>
      </c>
      <c r="Q8">
        <v>65</v>
      </c>
      <c r="R8" t="s">
        <v>37</v>
      </c>
      <c r="S8">
        <v>1001</v>
      </c>
    </row>
    <row r="9" spans="1:19" ht="13.8" x14ac:dyDescent="0.3">
      <c r="A9" t="str">
        <f>LEFT(B9,5)</f>
        <v>30118</v>
      </c>
      <c r="B9" t="s">
        <v>42</v>
      </c>
      <c r="C9" t="s">
        <v>43</v>
      </c>
      <c r="D9" t="s">
        <v>21</v>
      </c>
      <c r="E9" t="s">
        <v>22</v>
      </c>
      <c r="F9" t="s">
        <v>44</v>
      </c>
      <c r="G9" t="s">
        <v>45</v>
      </c>
      <c r="H9">
        <v>58</v>
      </c>
      <c r="I9">
        <v>7</v>
      </c>
      <c r="J9">
        <v>0</v>
      </c>
      <c r="K9">
        <v>65</v>
      </c>
      <c r="L9" t="s">
        <v>37</v>
      </c>
      <c r="M9">
        <v>200</v>
      </c>
      <c r="N9">
        <v>65</v>
      </c>
      <c r="O9" t="s">
        <v>37</v>
      </c>
      <c r="P9">
        <v>0</v>
      </c>
      <c r="Q9">
        <v>65</v>
      </c>
      <c r="R9" t="s">
        <v>37</v>
      </c>
      <c r="S9">
        <v>2750</v>
      </c>
    </row>
    <row r="10" spans="1:19" ht="13.8" x14ac:dyDescent="0.3">
      <c r="A10" t="str">
        <f>LEFT(B10,5)</f>
        <v>30118</v>
      </c>
      <c r="B10" t="s">
        <v>46</v>
      </c>
      <c r="C10" t="s">
        <v>43</v>
      </c>
      <c r="D10" t="s">
        <v>21</v>
      </c>
      <c r="E10" t="s">
        <v>22</v>
      </c>
      <c r="F10" t="s">
        <v>47</v>
      </c>
      <c r="G10" t="s">
        <v>45</v>
      </c>
      <c r="H10">
        <v>45</v>
      </c>
      <c r="I10">
        <v>20</v>
      </c>
      <c r="J10">
        <v>0</v>
      </c>
      <c r="K10">
        <v>65</v>
      </c>
      <c r="L10" t="s">
        <v>37</v>
      </c>
      <c r="M10">
        <v>131</v>
      </c>
      <c r="N10">
        <v>65</v>
      </c>
      <c r="O10" t="s">
        <v>37</v>
      </c>
      <c r="P10">
        <v>0</v>
      </c>
      <c r="Q10">
        <v>65</v>
      </c>
      <c r="R10" t="s">
        <v>37</v>
      </c>
      <c r="S10">
        <v>3004</v>
      </c>
    </row>
    <row r="11" spans="1:19" ht="13.8" x14ac:dyDescent="0.3">
      <c r="A11" t="str">
        <f>LEFT(B11,5)</f>
        <v>30130</v>
      </c>
      <c r="B11" t="s">
        <v>48</v>
      </c>
      <c r="C11" t="s">
        <v>49</v>
      </c>
      <c r="D11" t="s">
        <v>21</v>
      </c>
      <c r="E11" t="s">
        <v>22</v>
      </c>
      <c r="F11" t="s">
        <v>39</v>
      </c>
      <c r="G11" t="s">
        <v>50</v>
      </c>
      <c r="H11">
        <v>65</v>
      </c>
      <c r="I11" t="s">
        <v>37</v>
      </c>
      <c r="J11">
        <v>2601</v>
      </c>
      <c r="K11">
        <v>65</v>
      </c>
      <c r="L11" t="s">
        <v>37</v>
      </c>
      <c r="M11">
        <v>3593</v>
      </c>
      <c r="P11" t="s">
        <v>25</v>
      </c>
      <c r="Q11">
        <v>65</v>
      </c>
      <c r="R11" t="s">
        <v>37</v>
      </c>
      <c r="S11">
        <v>2000</v>
      </c>
    </row>
    <row r="12" spans="1:19" ht="13.8" x14ac:dyDescent="0.3">
      <c r="A12" t="str">
        <f>LEFT(B12,5)</f>
        <v>30130</v>
      </c>
      <c r="B12" t="s">
        <v>51</v>
      </c>
      <c r="C12" t="s">
        <v>49</v>
      </c>
      <c r="D12" t="s">
        <v>21</v>
      </c>
      <c r="E12" t="s">
        <v>22</v>
      </c>
      <c r="F12" t="s">
        <v>52</v>
      </c>
      <c r="G12" t="s">
        <v>50</v>
      </c>
      <c r="H12">
        <v>33</v>
      </c>
      <c r="I12">
        <v>32</v>
      </c>
      <c r="J12">
        <v>0</v>
      </c>
      <c r="K12">
        <v>37</v>
      </c>
      <c r="L12">
        <v>28</v>
      </c>
      <c r="M12">
        <v>0</v>
      </c>
      <c r="N12">
        <v>37</v>
      </c>
      <c r="O12">
        <v>28</v>
      </c>
      <c r="P12">
        <v>0</v>
      </c>
      <c r="Q12">
        <v>65</v>
      </c>
      <c r="R12" t="s">
        <v>37</v>
      </c>
      <c r="S12">
        <v>917</v>
      </c>
    </row>
    <row r="13" spans="1:19" ht="13.8" x14ac:dyDescent="0.3">
      <c r="A13" t="str">
        <f>LEFT(B13,5)</f>
        <v>30130</v>
      </c>
      <c r="B13" t="s">
        <v>53</v>
      </c>
      <c r="C13" t="s">
        <v>49</v>
      </c>
      <c r="D13" t="s">
        <v>21</v>
      </c>
      <c r="E13" t="s">
        <v>22</v>
      </c>
      <c r="F13" t="s">
        <v>31</v>
      </c>
      <c r="G13" t="s">
        <v>50</v>
      </c>
      <c r="H13">
        <v>46</v>
      </c>
      <c r="I13">
        <v>19</v>
      </c>
      <c r="J13">
        <v>0</v>
      </c>
      <c r="K13">
        <v>46</v>
      </c>
      <c r="L13">
        <v>19</v>
      </c>
      <c r="M13">
        <v>0</v>
      </c>
      <c r="N13">
        <v>47</v>
      </c>
      <c r="O13">
        <v>18</v>
      </c>
      <c r="P13">
        <v>0</v>
      </c>
      <c r="Q13">
        <v>65</v>
      </c>
      <c r="R13" t="s">
        <v>37</v>
      </c>
      <c r="S13">
        <v>0</v>
      </c>
    </row>
    <row r="14" spans="1:19" s="1" customFormat="1" ht="13.8" x14ac:dyDescent="0.3">
      <c r="A14" s="1" t="str">
        <f>LEFT(B14,5)</f>
        <v>30135</v>
      </c>
      <c r="B14" s="1" t="s">
        <v>54</v>
      </c>
      <c r="C14" s="1" t="s">
        <v>55</v>
      </c>
      <c r="D14" s="1" t="s">
        <v>21</v>
      </c>
      <c r="E14" s="1" t="s">
        <v>22</v>
      </c>
      <c r="F14" s="1" t="s">
        <v>44</v>
      </c>
      <c r="G14" s="1" t="s">
        <v>56</v>
      </c>
      <c r="H14" s="1">
        <v>65</v>
      </c>
      <c r="I14" s="1" t="s">
        <v>37</v>
      </c>
      <c r="J14" s="1">
        <v>100</v>
      </c>
      <c r="K14" s="1">
        <v>65</v>
      </c>
      <c r="L14" s="1" t="s">
        <v>37</v>
      </c>
      <c r="M14" s="1">
        <v>5000</v>
      </c>
      <c r="N14" s="1">
        <v>65</v>
      </c>
      <c r="O14" s="1" t="s">
        <v>37</v>
      </c>
      <c r="P14" s="1">
        <v>0</v>
      </c>
      <c r="Q14" s="1">
        <v>65</v>
      </c>
      <c r="R14" s="1" t="s">
        <v>37</v>
      </c>
      <c r="S14" s="1">
        <v>2079</v>
      </c>
    </row>
    <row r="15" spans="1:19" ht="13.8" x14ac:dyDescent="0.3">
      <c r="A15" t="str">
        <f>LEFT(B15,5)</f>
        <v>30135</v>
      </c>
      <c r="B15" t="s">
        <v>57</v>
      </c>
      <c r="C15" t="s">
        <v>55</v>
      </c>
      <c r="D15" t="s">
        <v>21</v>
      </c>
      <c r="E15" t="s">
        <v>22</v>
      </c>
      <c r="F15" t="s">
        <v>29</v>
      </c>
      <c r="G15" t="s">
        <v>56</v>
      </c>
      <c r="H15">
        <v>65</v>
      </c>
      <c r="I15" t="s">
        <v>37</v>
      </c>
      <c r="J15">
        <v>1</v>
      </c>
      <c r="K15">
        <v>65</v>
      </c>
      <c r="L15" t="s">
        <v>37</v>
      </c>
      <c r="M15">
        <v>8000</v>
      </c>
      <c r="N15">
        <v>65</v>
      </c>
      <c r="O15" t="s">
        <v>37</v>
      </c>
      <c r="P15">
        <v>0</v>
      </c>
      <c r="Q15">
        <v>65</v>
      </c>
      <c r="R15" t="s">
        <v>37</v>
      </c>
      <c r="S15">
        <v>10002</v>
      </c>
    </row>
    <row r="16" spans="1:19" ht="13.8" x14ac:dyDescent="0.3">
      <c r="A16" t="str">
        <f>LEFT(B16,5)</f>
        <v>30600</v>
      </c>
      <c r="B16" t="s">
        <v>58</v>
      </c>
      <c r="C16" t="s">
        <v>59</v>
      </c>
      <c r="D16" t="s">
        <v>21</v>
      </c>
      <c r="E16" t="s">
        <v>22</v>
      </c>
      <c r="F16" t="s">
        <v>60</v>
      </c>
      <c r="G16" t="s">
        <v>61</v>
      </c>
      <c r="H16">
        <v>4</v>
      </c>
      <c r="I16">
        <v>26</v>
      </c>
      <c r="J16">
        <v>0</v>
      </c>
      <c r="K16">
        <v>6</v>
      </c>
      <c r="L16">
        <v>24</v>
      </c>
      <c r="M16">
        <v>0</v>
      </c>
      <c r="P16" t="s">
        <v>25</v>
      </c>
      <c r="Q16">
        <v>7</v>
      </c>
      <c r="R16">
        <v>23</v>
      </c>
      <c r="S16">
        <v>0</v>
      </c>
    </row>
    <row r="17" spans="1:19" ht="13.8" x14ac:dyDescent="0.3">
      <c r="A17" t="str">
        <f>LEFT(B17,5)</f>
        <v>30906</v>
      </c>
      <c r="B17" t="s">
        <v>62</v>
      </c>
      <c r="C17" t="s">
        <v>63</v>
      </c>
      <c r="D17" t="s">
        <v>21</v>
      </c>
      <c r="E17" t="s">
        <v>22</v>
      </c>
      <c r="F17" t="s">
        <v>64</v>
      </c>
      <c r="G17" t="s">
        <v>65</v>
      </c>
      <c r="H17">
        <v>7</v>
      </c>
      <c r="I17">
        <v>13</v>
      </c>
      <c r="J17">
        <v>0</v>
      </c>
      <c r="K17">
        <v>7</v>
      </c>
      <c r="L17">
        <v>13</v>
      </c>
      <c r="M17">
        <v>0</v>
      </c>
      <c r="P17" t="s">
        <v>25</v>
      </c>
      <c r="Q17">
        <v>7</v>
      </c>
      <c r="R17">
        <v>13</v>
      </c>
      <c r="S17">
        <v>0</v>
      </c>
    </row>
    <row r="18" spans="1:19" ht="13.8" x14ac:dyDescent="0.3">
      <c r="A18" t="str">
        <f>LEFT(B18,5)</f>
        <v>32120</v>
      </c>
      <c r="B18" t="s">
        <v>66</v>
      </c>
      <c r="C18" t="s">
        <v>67</v>
      </c>
      <c r="D18" t="s">
        <v>21</v>
      </c>
      <c r="E18" t="s">
        <v>22</v>
      </c>
      <c r="F18" t="s">
        <v>35</v>
      </c>
      <c r="G18" t="s">
        <v>68</v>
      </c>
      <c r="H18">
        <v>21</v>
      </c>
      <c r="I18">
        <v>14</v>
      </c>
      <c r="J18">
        <v>0</v>
      </c>
      <c r="K18">
        <v>27</v>
      </c>
      <c r="L18">
        <v>8</v>
      </c>
      <c r="M18">
        <v>0</v>
      </c>
      <c r="P18" t="s">
        <v>25</v>
      </c>
      <c r="Q18">
        <v>22</v>
      </c>
      <c r="R18">
        <v>13</v>
      </c>
      <c r="S18">
        <v>0</v>
      </c>
    </row>
    <row r="19" spans="1:19" ht="13.8" x14ac:dyDescent="0.3">
      <c r="A19" t="str">
        <f>LEFT(B19,5)</f>
        <v>32120</v>
      </c>
      <c r="B19" t="s">
        <v>69</v>
      </c>
      <c r="C19" t="s">
        <v>67</v>
      </c>
      <c r="D19" t="s">
        <v>21</v>
      </c>
      <c r="E19" t="s">
        <v>22</v>
      </c>
      <c r="F19" t="s">
        <v>39</v>
      </c>
      <c r="G19" t="s">
        <v>68</v>
      </c>
      <c r="H19">
        <v>33</v>
      </c>
      <c r="I19">
        <v>2</v>
      </c>
      <c r="J19">
        <v>0</v>
      </c>
      <c r="K19">
        <v>33</v>
      </c>
      <c r="L19">
        <v>2</v>
      </c>
      <c r="M19">
        <v>0</v>
      </c>
      <c r="P19" t="s">
        <v>25</v>
      </c>
      <c r="Q19">
        <v>35</v>
      </c>
      <c r="R19" t="s">
        <v>37</v>
      </c>
      <c r="S19">
        <v>2123</v>
      </c>
    </row>
    <row r="20" spans="1:19" ht="13.8" x14ac:dyDescent="0.3">
      <c r="A20" t="str">
        <f>LEFT(B20,5)</f>
        <v>32120</v>
      </c>
      <c r="B20" t="s">
        <v>70</v>
      </c>
      <c r="C20" t="s">
        <v>67</v>
      </c>
      <c r="D20" t="s">
        <v>21</v>
      </c>
      <c r="E20" t="s">
        <v>22</v>
      </c>
      <c r="F20" t="s">
        <v>29</v>
      </c>
      <c r="G20" t="s">
        <v>68</v>
      </c>
      <c r="H20">
        <v>7</v>
      </c>
      <c r="I20">
        <v>28</v>
      </c>
      <c r="J20">
        <v>0</v>
      </c>
      <c r="K20">
        <v>5</v>
      </c>
      <c r="L20">
        <v>30</v>
      </c>
      <c r="M20">
        <v>0</v>
      </c>
      <c r="N20">
        <v>7</v>
      </c>
      <c r="O20">
        <v>28</v>
      </c>
      <c r="P20">
        <v>0</v>
      </c>
      <c r="Q20">
        <v>18</v>
      </c>
      <c r="R20">
        <v>17</v>
      </c>
      <c r="S20">
        <v>0</v>
      </c>
    </row>
    <row r="21" spans="1:19" s="1" customFormat="1" ht="15.75" customHeight="1" x14ac:dyDescent="0.3">
      <c r="A21" s="1" t="str">
        <f>LEFT(B21,5)</f>
        <v>32210</v>
      </c>
      <c r="B21" s="1" t="s">
        <v>71</v>
      </c>
      <c r="C21" s="1" t="s">
        <v>72</v>
      </c>
      <c r="D21" s="1" t="s">
        <v>21</v>
      </c>
      <c r="E21" s="1" t="s">
        <v>22</v>
      </c>
      <c r="F21" s="1" t="s">
        <v>73</v>
      </c>
      <c r="G21" s="1" t="s">
        <v>74</v>
      </c>
      <c r="H21" s="1">
        <v>70</v>
      </c>
      <c r="I21" s="1" t="s">
        <v>37</v>
      </c>
      <c r="J21" s="1">
        <v>5389</v>
      </c>
      <c r="K21" s="1">
        <v>70</v>
      </c>
      <c r="L21" s="1" t="s">
        <v>37</v>
      </c>
      <c r="M21" s="1">
        <v>26376</v>
      </c>
      <c r="N21" s="1">
        <v>70</v>
      </c>
      <c r="O21" s="1" t="s">
        <v>37</v>
      </c>
      <c r="P21" s="1">
        <v>0</v>
      </c>
      <c r="Q21" s="1">
        <v>70</v>
      </c>
      <c r="R21" s="1" t="s">
        <v>37</v>
      </c>
      <c r="S21" s="1">
        <v>20516</v>
      </c>
    </row>
    <row r="22" spans="1:19" ht="15.75" customHeight="1" x14ac:dyDescent="0.3">
      <c r="A22" t="str">
        <f>LEFT(B22,5)</f>
        <v>33001</v>
      </c>
      <c r="B22" t="s">
        <v>75</v>
      </c>
      <c r="C22" t="s">
        <v>76</v>
      </c>
      <c r="D22" t="s">
        <v>21</v>
      </c>
      <c r="E22" t="s">
        <v>22</v>
      </c>
      <c r="F22" t="s">
        <v>35</v>
      </c>
      <c r="G22" t="s">
        <v>77</v>
      </c>
      <c r="H22">
        <v>38</v>
      </c>
      <c r="I22">
        <v>27</v>
      </c>
      <c r="J22">
        <v>0</v>
      </c>
      <c r="K22">
        <v>36</v>
      </c>
      <c r="L22">
        <v>29</v>
      </c>
      <c r="M22">
        <v>0</v>
      </c>
      <c r="P22" t="s">
        <v>25</v>
      </c>
      <c r="Q22">
        <v>36</v>
      </c>
      <c r="R22">
        <v>29</v>
      </c>
      <c r="S22">
        <v>0</v>
      </c>
    </row>
    <row r="23" spans="1:19" ht="15.75" customHeight="1" x14ac:dyDescent="0.3">
      <c r="A23" t="str">
        <f>LEFT(B23,5)</f>
        <v>33001</v>
      </c>
      <c r="B23" t="s">
        <v>78</v>
      </c>
      <c r="C23" t="s">
        <v>76</v>
      </c>
      <c r="D23" t="s">
        <v>21</v>
      </c>
      <c r="E23" t="s">
        <v>22</v>
      </c>
      <c r="F23" t="s">
        <v>39</v>
      </c>
      <c r="G23" t="s">
        <v>77</v>
      </c>
      <c r="H23">
        <v>56</v>
      </c>
      <c r="I23">
        <v>9</v>
      </c>
      <c r="J23">
        <v>0</v>
      </c>
      <c r="K23">
        <v>57</v>
      </c>
      <c r="L23">
        <v>8</v>
      </c>
      <c r="M23">
        <v>0</v>
      </c>
      <c r="P23" t="s">
        <v>25</v>
      </c>
      <c r="Q23">
        <v>56</v>
      </c>
      <c r="R23">
        <v>9</v>
      </c>
      <c r="S23">
        <v>0</v>
      </c>
    </row>
    <row r="24" spans="1:19" ht="15.75" customHeight="1" x14ac:dyDescent="0.3">
      <c r="A24" t="str">
        <f>LEFT(B24,5)</f>
        <v>33001</v>
      </c>
      <c r="B24" t="s">
        <v>79</v>
      </c>
      <c r="C24" t="s">
        <v>76</v>
      </c>
      <c r="D24" t="s">
        <v>21</v>
      </c>
      <c r="E24" t="s">
        <v>22</v>
      </c>
      <c r="F24" t="s">
        <v>80</v>
      </c>
      <c r="G24" t="s">
        <v>77</v>
      </c>
      <c r="H24">
        <v>23</v>
      </c>
      <c r="I24">
        <v>42</v>
      </c>
      <c r="J24">
        <v>0</v>
      </c>
      <c r="K24">
        <v>24</v>
      </c>
      <c r="L24">
        <v>41</v>
      </c>
      <c r="M24">
        <v>0</v>
      </c>
      <c r="N24">
        <v>35</v>
      </c>
      <c r="O24">
        <v>30</v>
      </c>
      <c r="P24">
        <v>0</v>
      </c>
      <c r="Q24">
        <v>50</v>
      </c>
      <c r="R24">
        <v>15</v>
      </c>
      <c r="S24">
        <v>0</v>
      </c>
    </row>
    <row r="25" spans="1:19" ht="15.75" customHeight="1" x14ac:dyDescent="0.3">
      <c r="A25" t="str">
        <f>LEFT(B25,5)</f>
        <v>33050</v>
      </c>
      <c r="B25" t="s">
        <v>81</v>
      </c>
      <c r="C25" t="s">
        <v>82</v>
      </c>
      <c r="D25" t="s">
        <v>21</v>
      </c>
      <c r="E25" t="s">
        <v>22</v>
      </c>
      <c r="F25" t="s">
        <v>83</v>
      </c>
      <c r="G25" t="s">
        <v>84</v>
      </c>
      <c r="H25">
        <v>23</v>
      </c>
      <c r="I25">
        <v>42</v>
      </c>
      <c r="J25">
        <v>0</v>
      </c>
      <c r="K25">
        <v>30</v>
      </c>
      <c r="L25">
        <v>35</v>
      </c>
      <c r="M25">
        <v>0</v>
      </c>
      <c r="P25" t="s">
        <v>25</v>
      </c>
      <c r="Q25">
        <v>28</v>
      </c>
      <c r="R25">
        <v>37</v>
      </c>
      <c r="S25">
        <v>0</v>
      </c>
    </row>
    <row r="26" spans="1:19" ht="15.75" customHeight="1" x14ac:dyDescent="0.3">
      <c r="A26" t="str">
        <f>LEFT(B26,5)</f>
        <v>33050</v>
      </c>
      <c r="B26" t="s">
        <v>85</v>
      </c>
      <c r="C26" t="s">
        <v>82</v>
      </c>
      <c r="D26" t="s">
        <v>21</v>
      </c>
      <c r="E26" t="s">
        <v>22</v>
      </c>
      <c r="F26" t="s">
        <v>31</v>
      </c>
      <c r="G26" t="s">
        <v>84</v>
      </c>
      <c r="H26">
        <v>29</v>
      </c>
      <c r="I26">
        <v>36</v>
      </c>
      <c r="J26">
        <v>0</v>
      </c>
      <c r="K26">
        <v>25</v>
      </c>
      <c r="L26">
        <v>40</v>
      </c>
      <c r="M26">
        <v>0</v>
      </c>
      <c r="N26">
        <v>25</v>
      </c>
      <c r="O26">
        <v>40</v>
      </c>
      <c r="P26">
        <v>0</v>
      </c>
      <c r="Q26">
        <v>26</v>
      </c>
      <c r="R26">
        <v>39</v>
      </c>
      <c r="S26">
        <v>0</v>
      </c>
    </row>
    <row r="27" spans="1:19" ht="15.75" customHeight="1" x14ac:dyDescent="0.3">
      <c r="A27" t="str">
        <f>LEFT(B27,5)</f>
        <v>33112</v>
      </c>
      <c r="B27" t="s">
        <v>86</v>
      </c>
      <c r="C27" t="s">
        <v>87</v>
      </c>
      <c r="D27" t="s">
        <v>21</v>
      </c>
      <c r="E27" t="s">
        <v>22</v>
      </c>
      <c r="F27" t="s">
        <v>35</v>
      </c>
      <c r="G27" t="s">
        <v>88</v>
      </c>
      <c r="H27">
        <v>54</v>
      </c>
      <c r="I27">
        <v>11</v>
      </c>
      <c r="J27">
        <v>0</v>
      </c>
      <c r="K27">
        <v>59</v>
      </c>
      <c r="L27">
        <v>6</v>
      </c>
      <c r="M27">
        <v>0</v>
      </c>
      <c r="N27">
        <v>59</v>
      </c>
      <c r="O27">
        <v>6</v>
      </c>
      <c r="P27">
        <v>0</v>
      </c>
      <c r="Q27">
        <v>60</v>
      </c>
      <c r="R27">
        <v>5</v>
      </c>
      <c r="S27">
        <v>0</v>
      </c>
    </row>
    <row r="28" spans="1:19" ht="15.75" customHeight="1" x14ac:dyDescent="0.3">
      <c r="A28" t="str">
        <f>LEFT(B28,5)</f>
        <v>33112</v>
      </c>
      <c r="B28" t="s">
        <v>89</v>
      </c>
      <c r="C28" t="s">
        <v>87</v>
      </c>
      <c r="D28" t="s">
        <v>21</v>
      </c>
      <c r="E28" t="s">
        <v>22</v>
      </c>
      <c r="F28" t="s">
        <v>39</v>
      </c>
      <c r="G28" t="s">
        <v>88</v>
      </c>
      <c r="H28">
        <v>65</v>
      </c>
      <c r="I28" t="s">
        <v>37</v>
      </c>
      <c r="J28">
        <v>501</v>
      </c>
      <c r="K28">
        <v>65</v>
      </c>
      <c r="L28" t="s">
        <v>37</v>
      </c>
      <c r="M28">
        <v>4555</v>
      </c>
      <c r="N28">
        <v>65</v>
      </c>
      <c r="O28" t="s">
        <v>37</v>
      </c>
      <c r="P28">
        <v>0</v>
      </c>
      <c r="Q28">
        <v>64</v>
      </c>
      <c r="R28">
        <v>1</v>
      </c>
      <c r="S28">
        <v>0</v>
      </c>
    </row>
    <row r="29" spans="1:19" ht="15.75" customHeight="1" x14ac:dyDescent="0.3">
      <c r="A29" t="str">
        <f>LEFT(B29,5)</f>
        <v>33112</v>
      </c>
      <c r="B29" t="s">
        <v>90</v>
      </c>
      <c r="C29" t="s">
        <v>87</v>
      </c>
      <c r="D29" t="s">
        <v>21</v>
      </c>
      <c r="E29" t="s">
        <v>22</v>
      </c>
      <c r="F29" t="s">
        <v>80</v>
      </c>
      <c r="G29" t="s">
        <v>88</v>
      </c>
      <c r="H29">
        <v>26</v>
      </c>
      <c r="I29">
        <v>39</v>
      </c>
      <c r="J29">
        <v>0</v>
      </c>
      <c r="K29">
        <v>31</v>
      </c>
      <c r="L29">
        <v>34</v>
      </c>
      <c r="M29">
        <v>0</v>
      </c>
      <c r="N29">
        <v>32</v>
      </c>
      <c r="O29">
        <v>33</v>
      </c>
      <c r="P29">
        <v>0</v>
      </c>
      <c r="Q29">
        <v>44</v>
      </c>
      <c r="R29">
        <v>21</v>
      </c>
      <c r="S29">
        <v>0</v>
      </c>
    </row>
    <row r="30" spans="1:19" ht="15.75" customHeight="1" x14ac:dyDescent="0.3">
      <c r="A30" t="str">
        <f>LEFT(B30,5)</f>
        <v>33450</v>
      </c>
      <c r="B30" t="s">
        <v>91</v>
      </c>
      <c r="C30" t="s">
        <v>92</v>
      </c>
      <c r="D30" t="s">
        <v>21</v>
      </c>
      <c r="E30" t="s">
        <v>22</v>
      </c>
      <c r="F30" t="s">
        <v>47</v>
      </c>
      <c r="G30" t="s">
        <v>93</v>
      </c>
      <c r="H30">
        <v>44</v>
      </c>
      <c r="I30">
        <v>21</v>
      </c>
      <c r="J30">
        <v>0</v>
      </c>
      <c r="K30">
        <v>54</v>
      </c>
      <c r="L30">
        <v>11</v>
      </c>
      <c r="M30">
        <v>0</v>
      </c>
      <c r="N30">
        <v>54</v>
      </c>
      <c r="O30">
        <v>11</v>
      </c>
      <c r="P30">
        <v>0</v>
      </c>
      <c r="Q30">
        <v>56</v>
      </c>
      <c r="R30">
        <v>9</v>
      </c>
      <c r="S30">
        <v>0</v>
      </c>
    </row>
    <row r="31" spans="1:19" ht="15.75" customHeight="1" x14ac:dyDescent="0.3">
      <c r="A31" t="str">
        <f>LEFT(B31,5)</f>
        <v>33450</v>
      </c>
      <c r="B31" t="s">
        <v>94</v>
      </c>
      <c r="C31" t="s">
        <v>92</v>
      </c>
      <c r="D31" t="s">
        <v>21</v>
      </c>
      <c r="E31" t="s">
        <v>22</v>
      </c>
      <c r="F31" t="s">
        <v>44</v>
      </c>
      <c r="G31" t="s">
        <v>93</v>
      </c>
      <c r="H31">
        <v>25</v>
      </c>
      <c r="I31">
        <v>40</v>
      </c>
      <c r="J31">
        <v>0</v>
      </c>
      <c r="K31">
        <v>31</v>
      </c>
      <c r="L31">
        <v>34</v>
      </c>
      <c r="M31">
        <v>0</v>
      </c>
      <c r="P31" t="s">
        <v>25</v>
      </c>
      <c r="Q31">
        <v>28</v>
      </c>
      <c r="R31">
        <v>37</v>
      </c>
      <c r="S31">
        <v>0</v>
      </c>
    </row>
    <row r="32" spans="1:19" ht="15.75" customHeight="1" x14ac:dyDescent="0.3">
      <c r="A32" t="str">
        <f>LEFT(B32,5)</f>
        <v>33450</v>
      </c>
      <c r="B32" t="s">
        <v>95</v>
      </c>
      <c r="C32" t="s">
        <v>92</v>
      </c>
      <c r="D32" t="s">
        <v>21</v>
      </c>
      <c r="E32" t="s">
        <v>22</v>
      </c>
      <c r="F32" t="s">
        <v>41</v>
      </c>
      <c r="G32" t="s">
        <v>93</v>
      </c>
      <c r="H32">
        <v>39</v>
      </c>
      <c r="I32">
        <v>26</v>
      </c>
      <c r="J32">
        <v>0</v>
      </c>
      <c r="K32">
        <v>41</v>
      </c>
      <c r="L32">
        <v>24</v>
      </c>
      <c r="M32">
        <v>0</v>
      </c>
      <c r="N32">
        <v>44</v>
      </c>
      <c r="O32">
        <v>21</v>
      </c>
      <c r="P32">
        <v>0</v>
      </c>
      <c r="Q32">
        <v>56</v>
      </c>
      <c r="R32">
        <v>9</v>
      </c>
      <c r="S32">
        <v>0</v>
      </c>
    </row>
    <row r="33" spans="1:19" ht="15.75" customHeight="1" x14ac:dyDescent="0.3">
      <c r="A33" t="str">
        <f>LEFT(B33,5)</f>
        <v>33471</v>
      </c>
      <c r="B33" t="s">
        <v>96</v>
      </c>
      <c r="C33" t="s">
        <v>97</v>
      </c>
      <c r="D33" t="s">
        <v>21</v>
      </c>
      <c r="E33" t="s">
        <v>22</v>
      </c>
      <c r="F33" t="s">
        <v>23</v>
      </c>
      <c r="G33" t="s">
        <v>98</v>
      </c>
      <c r="H33">
        <v>42</v>
      </c>
      <c r="I33" t="s">
        <v>37</v>
      </c>
      <c r="J33">
        <v>3500</v>
      </c>
      <c r="K33">
        <v>42</v>
      </c>
      <c r="L33" t="s">
        <v>37</v>
      </c>
      <c r="M33">
        <v>8784</v>
      </c>
      <c r="N33">
        <v>42</v>
      </c>
      <c r="O33" t="s">
        <v>37</v>
      </c>
      <c r="P33">
        <v>0</v>
      </c>
      <c r="Q33">
        <v>42</v>
      </c>
      <c r="R33" t="s">
        <v>37</v>
      </c>
      <c r="S33">
        <v>9500</v>
      </c>
    </row>
    <row r="34" spans="1:19" ht="15.75" customHeight="1" x14ac:dyDescent="0.3">
      <c r="A34" t="str">
        <f>LEFT(B34,5)</f>
        <v>33471</v>
      </c>
      <c r="B34" t="s">
        <v>99</v>
      </c>
      <c r="C34" t="s">
        <v>97</v>
      </c>
      <c r="D34" t="s">
        <v>21</v>
      </c>
      <c r="E34" t="s">
        <v>22</v>
      </c>
      <c r="F34" t="s">
        <v>100</v>
      </c>
      <c r="G34" t="s">
        <v>98</v>
      </c>
      <c r="H34">
        <v>42</v>
      </c>
      <c r="I34" t="s">
        <v>37</v>
      </c>
      <c r="J34">
        <v>4507</v>
      </c>
      <c r="K34">
        <v>42</v>
      </c>
      <c r="L34" t="s">
        <v>37</v>
      </c>
      <c r="M34">
        <v>14425</v>
      </c>
      <c r="N34">
        <v>42</v>
      </c>
      <c r="O34" t="s">
        <v>37</v>
      </c>
      <c r="P34">
        <v>0</v>
      </c>
      <c r="Q34">
        <v>42</v>
      </c>
      <c r="R34" t="s">
        <v>37</v>
      </c>
      <c r="S34">
        <v>8118</v>
      </c>
    </row>
    <row r="35" spans="1:19" ht="15.75" customHeight="1" x14ac:dyDescent="0.3">
      <c r="A35" t="str">
        <f>LEFT(B35,5)</f>
        <v>33471</v>
      </c>
      <c r="B35" t="s">
        <v>101</v>
      </c>
      <c r="C35" t="s">
        <v>97</v>
      </c>
      <c r="D35" t="s">
        <v>21</v>
      </c>
      <c r="E35" t="s">
        <v>22</v>
      </c>
      <c r="F35" t="s">
        <v>73</v>
      </c>
      <c r="G35" t="s">
        <v>98</v>
      </c>
      <c r="H35">
        <v>42</v>
      </c>
      <c r="I35" t="s">
        <v>37</v>
      </c>
      <c r="J35">
        <v>2401</v>
      </c>
      <c r="K35">
        <v>42</v>
      </c>
      <c r="L35" t="s">
        <v>37</v>
      </c>
      <c r="M35">
        <v>7217</v>
      </c>
      <c r="N35">
        <v>42</v>
      </c>
      <c r="O35" t="s">
        <v>37</v>
      </c>
      <c r="P35">
        <v>0</v>
      </c>
      <c r="Q35">
        <v>42</v>
      </c>
      <c r="R35" t="s">
        <v>37</v>
      </c>
      <c r="S35">
        <v>9000</v>
      </c>
    </row>
    <row r="36" spans="1:19" ht="15.75" customHeight="1" x14ac:dyDescent="0.3">
      <c r="A36" t="str">
        <f>LEFT(B36,5)</f>
        <v>33471</v>
      </c>
      <c r="B36" t="s">
        <v>102</v>
      </c>
      <c r="C36" t="s">
        <v>97</v>
      </c>
      <c r="D36" t="s">
        <v>21</v>
      </c>
      <c r="E36" t="s">
        <v>22</v>
      </c>
      <c r="F36" t="s">
        <v>52</v>
      </c>
      <c r="G36" t="s">
        <v>98</v>
      </c>
      <c r="H36">
        <v>10</v>
      </c>
      <c r="I36">
        <v>32</v>
      </c>
      <c r="J36">
        <v>0</v>
      </c>
      <c r="K36">
        <v>10</v>
      </c>
      <c r="L36">
        <v>32</v>
      </c>
      <c r="M36">
        <v>0</v>
      </c>
      <c r="N36">
        <v>11</v>
      </c>
      <c r="O36">
        <v>31</v>
      </c>
      <c r="P36">
        <v>0</v>
      </c>
      <c r="Q36">
        <v>42</v>
      </c>
      <c r="R36" t="s">
        <v>37</v>
      </c>
      <c r="S36">
        <v>1111</v>
      </c>
    </row>
    <row r="37" spans="1:19" ht="15.75" customHeight="1" x14ac:dyDescent="0.3">
      <c r="A37" t="str">
        <f>LEFT(B37,5)</f>
        <v>33501</v>
      </c>
      <c r="B37" t="s">
        <v>103</v>
      </c>
      <c r="C37" t="s">
        <v>104</v>
      </c>
      <c r="D37" t="s">
        <v>21</v>
      </c>
      <c r="E37" t="s">
        <v>22</v>
      </c>
      <c r="F37" t="s">
        <v>105</v>
      </c>
      <c r="G37" t="s">
        <v>106</v>
      </c>
      <c r="H37">
        <v>29</v>
      </c>
      <c r="I37">
        <v>36</v>
      </c>
      <c r="J37">
        <v>0</v>
      </c>
      <c r="K37">
        <v>28</v>
      </c>
      <c r="L37">
        <v>37</v>
      </c>
      <c r="M37">
        <v>0</v>
      </c>
      <c r="N37">
        <v>28</v>
      </c>
      <c r="O37">
        <v>37</v>
      </c>
      <c r="P37">
        <v>0</v>
      </c>
      <c r="Q37">
        <v>30</v>
      </c>
      <c r="R37">
        <v>35</v>
      </c>
      <c r="S37">
        <v>0</v>
      </c>
    </row>
    <row r="38" spans="1:19" ht="15.75" customHeight="1" x14ac:dyDescent="0.3">
      <c r="A38" t="str">
        <f>LEFT(B38,5)</f>
        <v>33610</v>
      </c>
      <c r="B38" t="s">
        <v>107</v>
      </c>
      <c r="C38" t="s">
        <v>108</v>
      </c>
      <c r="D38" t="s">
        <v>21</v>
      </c>
      <c r="E38" t="s">
        <v>22</v>
      </c>
      <c r="F38" t="s">
        <v>109</v>
      </c>
      <c r="G38" t="s">
        <v>110</v>
      </c>
      <c r="H38">
        <v>4</v>
      </c>
      <c r="I38">
        <v>26</v>
      </c>
      <c r="J38">
        <v>0</v>
      </c>
      <c r="K38">
        <v>4</v>
      </c>
      <c r="L38">
        <v>26</v>
      </c>
      <c r="M38">
        <v>0</v>
      </c>
      <c r="P38" t="s">
        <v>25</v>
      </c>
      <c r="Q38">
        <v>4</v>
      </c>
      <c r="R38">
        <v>26</v>
      </c>
      <c r="S38">
        <v>0</v>
      </c>
    </row>
    <row r="39" spans="1:19" ht="15.75" customHeight="1" x14ac:dyDescent="0.3">
      <c r="A39" t="str">
        <f>LEFT(B39,5)</f>
        <v>33630</v>
      </c>
      <c r="B39" t="s">
        <v>111</v>
      </c>
      <c r="C39" t="s">
        <v>112</v>
      </c>
      <c r="D39" t="s">
        <v>21</v>
      </c>
      <c r="E39" t="s">
        <v>22</v>
      </c>
      <c r="F39" t="s">
        <v>113</v>
      </c>
      <c r="G39" t="s">
        <v>114</v>
      </c>
      <c r="H39">
        <v>1</v>
      </c>
      <c r="I39">
        <v>29</v>
      </c>
      <c r="J39">
        <v>0</v>
      </c>
      <c r="K39">
        <v>1</v>
      </c>
      <c r="L39">
        <v>29</v>
      </c>
      <c r="M39">
        <v>0</v>
      </c>
      <c r="P39" t="s">
        <v>25</v>
      </c>
      <c r="Q39">
        <v>1</v>
      </c>
      <c r="R39">
        <v>29</v>
      </c>
      <c r="S39">
        <v>0</v>
      </c>
    </row>
    <row r="40" spans="1:19" ht="15.75" customHeight="1" x14ac:dyDescent="0.3">
      <c r="A40" t="str">
        <f>LEFT(B40,5)</f>
        <v>33650</v>
      </c>
      <c r="B40" t="s">
        <v>115</v>
      </c>
      <c r="C40" t="s">
        <v>116</v>
      </c>
      <c r="D40" t="s">
        <v>21</v>
      </c>
      <c r="E40" t="s">
        <v>22</v>
      </c>
      <c r="F40" t="s">
        <v>117</v>
      </c>
      <c r="G40" t="s">
        <v>118</v>
      </c>
      <c r="H40">
        <v>1</v>
      </c>
      <c r="I40">
        <v>29</v>
      </c>
      <c r="J40">
        <v>0</v>
      </c>
      <c r="K40">
        <v>1</v>
      </c>
      <c r="L40">
        <v>29</v>
      </c>
      <c r="M40">
        <v>0</v>
      </c>
      <c r="P40" t="s">
        <v>25</v>
      </c>
      <c r="Q40">
        <v>1</v>
      </c>
      <c r="R40">
        <v>29</v>
      </c>
      <c r="S40">
        <v>0</v>
      </c>
    </row>
    <row r="41" spans="1:19" ht="15.75" customHeight="1" x14ac:dyDescent="0.3">
      <c r="A41" t="str">
        <f>LEFT(B41,5)</f>
        <v>33904</v>
      </c>
      <c r="B41" t="s">
        <v>119</v>
      </c>
      <c r="C41" t="s">
        <v>120</v>
      </c>
      <c r="D41" t="s">
        <v>21</v>
      </c>
      <c r="E41" t="s">
        <v>22</v>
      </c>
      <c r="F41" t="s">
        <v>121</v>
      </c>
      <c r="G41" t="s">
        <v>122</v>
      </c>
      <c r="H41">
        <v>0</v>
      </c>
      <c r="I41">
        <v>22</v>
      </c>
      <c r="J41">
        <v>0</v>
      </c>
      <c r="K41">
        <v>0</v>
      </c>
      <c r="L41">
        <v>22</v>
      </c>
      <c r="M41">
        <v>0</v>
      </c>
      <c r="P41" t="s">
        <v>25</v>
      </c>
      <c r="Q41">
        <v>0</v>
      </c>
      <c r="R41">
        <v>22</v>
      </c>
      <c r="S41">
        <v>0</v>
      </c>
    </row>
    <row r="42" spans="1:19" ht="15.75" customHeight="1" x14ac:dyDescent="0.3">
      <c r="A42" t="str">
        <f>LEFT(B42,5)</f>
        <v>33920</v>
      </c>
      <c r="B42" t="s">
        <v>123</v>
      </c>
      <c r="C42" t="s">
        <v>124</v>
      </c>
      <c r="D42" t="s">
        <v>21</v>
      </c>
      <c r="E42" t="s">
        <v>22</v>
      </c>
      <c r="F42" t="s">
        <v>125</v>
      </c>
      <c r="G42" t="s">
        <v>126</v>
      </c>
      <c r="H42">
        <v>1</v>
      </c>
      <c r="I42">
        <v>10</v>
      </c>
      <c r="J42">
        <v>0</v>
      </c>
      <c r="K42">
        <v>1</v>
      </c>
      <c r="L42">
        <v>10</v>
      </c>
      <c r="M42">
        <v>0</v>
      </c>
      <c r="P42" t="s">
        <v>25</v>
      </c>
      <c r="Q42">
        <v>3</v>
      </c>
      <c r="R42">
        <v>8</v>
      </c>
      <c r="S42">
        <v>0</v>
      </c>
    </row>
    <row r="43" spans="1:19" ht="15.75" customHeight="1" x14ac:dyDescent="0.3">
      <c r="A43" t="str">
        <f>LEFT(B43,5)</f>
        <v>33922</v>
      </c>
      <c r="B43" t="s">
        <v>127</v>
      </c>
      <c r="C43" t="s">
        <v>128</v>
      </c>
      <c r="D43" t="s">
        <v>21</v>
      </c>
      <c r="E43" t="s">
        <v>22</v>
      </c>
      <c r="F43" t="s">
        <v>129</v>
      </c>
      <c r="G43" t="s">
        <v>130</v>
      </c>
      <c r="H43">
        <v>14</v>
      </c>
      <c r="I43">
        <v>16</v>
      </c>
      <c r="J43">
        <v>0</v>
      </c>
      <c r="K43">
        <v>16</v>
      </c>
      <c r="L43">
        <v>14</v>
      </c>
      <c r="M43">
        <v>0</v>
      </c>
      <c r="P43" t="s">
        <v>25</v>
      </c>
      <c r="Q43">
        <v>19</v>
      </c>
      <c r="R43">
        <v>11</v>
      </c>
      <c r="S43">
        <v>0</v>
      </c>
    </row>
    <row r="44" spans="1:19" ht="15.75" customHeight="1" x14ac:dyDescent="0.3">
      <c r="A44" t="str">
        <f>LEFT(B44,5)</f>
        <v>33931</v>
      </c>
      <c r="B44" t="s">
        <v>131</v>
      </c>
      <c r="C44" t="s">
        <v>132</v>
      </c>
      <c r="D44" t="s">
        <v>21</v>
      </c>
      <c r="E44" t="s">
        <v>22</v>
      </c>
      <c r="F44" t="s">
        <v>133</v>
      </c>
      <c r="G44" t="s">
        <v>134</v>
      </c>
      <c r="H44">
        <v>3</v>
      </c>
      <c r="I44">
        <v>19</v>
      </c>
      <c r="J44">
        <v>0</v>
      </c>
      <c r="K44">
        <v>3</v>
      </c>
      <c r="L44">
        <v>19</v>
      </c>
      <c r="M44">
        <v>0</v>
      </c>
      <c r="P44" t="s">
        <v>25</v>
      </c>
      <c r="Q44">
        <v>3</v>
      </c>
      <c r="R44">
        <v>19</v>
      </c>
      <c r="S44">
        <v>0</v>
      </c>
    </row>
    <row r="45" spans="1:19" ht="15.75" customHeight="1" x14ac:dyDescent="0.3">
      <c r="A45" t="str">
        <f>LEFT(B45,5)</f>
        <v>34101</v>
      </c>
      <c r="B45" t="s">
        <v>135</v>
      </c>
      <c r="C45" t="s">
        <v>136</v>
      </c>
      <c r="D45" t="s">
        <v>21</v>
      </c>
      <c r="E45" t="s">
        <v>22</v>
      </c>
      <c r="F45" t="s">
        <v>137</v>
      </c>
      <c r="G45" t="s">
        <v>138</v>
      </c>
      <c r="H45">
        <v>70</v>
      </c>
      <c r="I45" t="s">
        <v>37</v>
      </c>
      <c r="J45">
        <v>7946</v>
      </c>
      <c r="K45">
        <v>70</v>
      </c>
      <c r="L45" t="s">
        <v>37</v>
      </c>
      <c r="M45">
        <v>10000</v>
      </c>
      <c r="P45" t="s">
        <v>25</v>
      </c>
      <c r="Q45">
        <v>70</v>
      </c>
      <c r="R45" t="s">
        <v>37</v>
      </c>
      <c r="S45">
        <v>20000</v>
      </c>
    </row>
    <row r="46" spans="1:19" ht="15.75" customHeight="1" x14ac:dyDescent="0.3">
      <c r="A46" t="str">
        <f>LEFT(B46,5)</f>
        <v>34101</v>
      </c>
      <c r="B46" t="s">
        <v>139</v>
      </c>
      <c r="C46" t="s">
        <v>136</v>
      </c>
      <c r="D46" t="s">
        <v>21</v>
      </c>
      <c r="E46" t="s">
        <v>22</v>
      </c>
      <c r="F46" t="s">
        <v>41</v>
      </c>
      <c r="G46" t="s">
        <v>138</v>
      </c>
      <c r="H46">
        <v>57</v>
      </c>
      <c r="I46">
        <v>8</v>
      </c>
      <c r="J46">
        <v>0</v>
      </c>
      <c r="K46">
        <v>54</v>
      </c>
      <c r="L46">
        <v>11</v>
      </c>
      <c r="M46">
        <v>0</v>
      </c>
      <c r="N46">
        <v>54</v>
      </c>
      <c r="O46">
        <v>11</v>
      </c>
      <c r="P46">
        <v>0</v>
      </c>
      <c r="Q46">
        <v>70</v>
      </c>
      <c r="R46" t="s">
        <v>37</v>
      </c>
      <c r="S46">
        <v>10000</v>
      </c>
    </row>
    <row r="47" spans="1:19" ht="15.75" customHeight="1" x14ac:dyDescent="0.3">
      <c r="A47" t="str">
        <f>LEFT(B47,5)</f>
        <v>34102</v>
      </c>
      <c r="B47" t="s">
        <v>140</v>
      </c>
      <c r="C47" t="s">
        <v>141</v>
      </c>
      <c r="D47" t="s">
        <v>21</v>
      </c>
      <c r="E47" t="s">
        <v>22</v>
      </c>
      <c r="F47" t="s">
        <v>27</v>
      </c>
      <c r="G47" t="s">
        <v>142</v>
      </c>
      <c r="H47">
        <v>40</v>
      </c>
      <c r="I47">
        <v>25</v>
      </c>
      <c r="J47">
        <v>0</v>
      </c>
      <c r="K47">
        <v>42</v>
      </c>
      <c r="L47">
        <v>23</v>
      </c>
      <c r="M47">
        <v>0</v>
      </c>
      <c r="P47" t="s">
        <v>25</v>
      </c>
      <c r="Q47">
        <v>54</v>
      </c>
      <c r="R47">
        <v>11</v>
      </c>
      <c r="S47">
        <v>0</v>
      </c>
    </row>
    <row r="48" spans="1:19" ht="15.75" customHeight="1" x14ac:dyDescent="0.3">
      <c r="A48" t="str">
        <f>LEFT(B48,5)</f>
        <v>34102</v>
      </c>
      <c r="B48" t="s">
        <v>143</v>
      </c>
      <c r="C48" t="s">
        <v>141</v>
      </c>
      <c r="D48" t="s">
        <v>21</v>
      </c>
      <c r="E48" t="s">
        <v>22</v>
      </c>
      <c r="F48" t="s">
        <v>105</v>
      </c>
      <c r="G48" t="s">
        <v>144</v>
      </c>
      <c r="H48">
        <v>24</v>
      </c>
      <c r="I48">
        <v>41</v>
      </c>
      <c r="J48">
        <v>0</v>
      </c>
      <c r="K48">
        <v>26</v>
      </c>
      <c r="L48">
        <v>39</v>
      </c>
      <c r="M48">
        <v>0</v>
      </c>
      <c r="N48">
        <v>27</v>
      </c>
      <c r="O48">
        <v>38</v>
      </c>
      <c r="P48">
        <v>0</v>
      </c>
      <c r="Q48">
        <v>51</v>
      </c>
      <c r="R48">
        <v>14</v>
      </c>
      <c r="S48">
        <v>0</v>
      </c>
    </row>
    <row r="49" spans="1:19" ht="15.75" customHeight="1" x14ac:dyDescent="0.3">
      <c r="A49" t="str">
        <f>LEFT(B49,5)</f>
        <v>34102</v>
      </c>
      <c r="B49" t="s">
        <v>145</v>
      </c>
      <c r="C49" t="s">
        <v>141</v>
      </c>
      <c r="D49" t="s">
        <v>21</v>
      </c>
      <c r="E49" t="s">
        <v>22</v>
      </c>
      <c r="F49" t="s">
        <v>31</v>
      </c>
      <c r="G49" t="s">
        <v>144</v>
      </c>
      <c r="H49">
        <v>30</v>
      </c>
      <c r="I49">
        <v>35</v>
      </c>
      <c r="J49">
        <v>0</v>
      </c>
      <c r="K49">
        <v>29</v>
      </c>
      <c r="L49">
        <v>36</v>
      </c>
      <c r="M49">
        <v>0</v>
      </c>
      <c r="N49">
        <v>32</v>
      </c>
      <c r="O49">
        <v>33</v>
      </c>
      <c r="P49">
        <v>0</v>
      </c>
      <c r="Q49">
        <v>32</v>
      </c>
      <c r="R49">
        <v>33</v>
      </c>
      <c r="S49">
        <v>0</v>
      </c>
    </row>
    <row r="50" spans="1:19" ht="15.75" customHeight="1" x14ac:dyDescent="0.3">
      <c r="A50" t="str">
        <f>LEFT(B50,5)</f>
        <v>34103</v>
      </c>
      <c r="B50" t="s">
        <v>146</v>
      </c>
      <c r="C50" t="s">
        <v>147</v>
      </c>
      <c r="D50" t="s">
        <v>21</v>
      </c>
      <c r="E50" t="s">
        <v>22</v>
      </c>
      <c r="F50" t="s">
        <v>148</v>
      </c>
      <c r="G50" t="s">
        <v>149</v>
      </c>
      <c r="H50">
        <v>23</v>
      </c>
      <c r="I50">
        <v>22</v>
      </c>
      <c r="J50">
        <v>0</v>
      </c>
      <c r="K50">
        <v>26</v>
      </c>
      <c r="L50">
        <v>19</v>
      </c>
      <c r="M50">
        <v>0</v>
      </c>
      <c r="P50" t="s">
        <v>25</v>
      </c>
      <c r="Q50">
        <v>28</v>
      </c>
      <c r="R50">
        <v>17</v>
      </c>
      <c r="S50">
        <v>0</v>
      </c>
    </row>
    <row r="51" spans="1:19" ht="15.75" customHeight="1" x14ac:dyDescent="0.3">
      <c r="A51" t="str">
        <f>LEFT(B51,5)</f>
        <v>34103</v>
      </c>
      <c r="B51" t="s">
        <v>150</v>
      </c>
      <c r="C51" t="s">
        <v>147</v>
      </c>
      <c r="D51" t="s">
        <v>21</v>
      </c>
      <c r="E51" t="s">
        <v>22</v>
      </c>
      <c r="F51" t="s">
        <v>41</v>
      </c>
      <c r="G51" t="s">
        <v>151</v>
      </c>
      <c r="H51">
        <v>18</v>
      </c>
      <c r="I51">
        <v>27</v>
      </c>
      <c r="J51">
        <v>0</v>
      </c>
      <c r="K51">
        <v>15</v>
      </c>
      <c r="L51">
        <v>30</v>
      </c>
      <c r="M51">
        <v>0</v>
      </c>
      <c r="N51">
        <v>18</v>
      </c>
      <c r="O51">
        <v>27</v>
      </c>
      <c r="P51">
        <v>0</v>
      </c>
      <c r="Q51">
        <v>29</v>
      </c>
      <c r="R51">
        <v>16</v>
      </c>
      <c r="S51">
        <v>0</v>
      </c>
    </row>
    <row r="52" spans="1:19" ht="15.75" customHeight="1" x14ac:dyDescent="0.3">
      <c r="A52" t="str">
        <f>LEFT(B52,5)</f>
        <v>34206</v>
      </c>
      <c r="B52" t="s">
        <v>152</v>
      </c>
      <c r="C52" t="s">
        <v>153</v>
      </c>
      <c r="D52" t="s">
        <v>21</v>
      </c>
      <c r="E52" t="s">
        <v>22</v>
      </c>
      <c r="F52" t="s">
        <v>27</v>
      </c>
      <c r="G52" t="s">
        <v>154</v>
      </c>
      <c r="H52">
        <v>65</v>
      </c>
      <c r="I52" t="s">
        <v>37</v>
      </c>
      <c r="J52">
        <v>25</v>
      </c>
      <c r="K52">
        <v>65</v>
      </c>
      <c r="L52" t="s">
        <v>37</v>
      </c>
      <c r="M52">
        <v>2025</v>
      </c>
      <c r="N52">
        <v>65</v>
      </c>
      <c r="O52" t="s">
        <v>37</v>
      </c>
      <c r="P52">
        <v>0</v>
      </c>
      <c r="Q52">
        <v>65</v>
      </c>
      <c r="R52" t="s">
        <v>37</v>
      </c>
      <c r="S52">
        <v>7000</v>
      </c>
    </row>
    <row r="53" spans="1:19" ht="15.75" customHeight="1" x14ac:dyDescent="0.3">
      <c r="A53" t="str">
        <f>LEFT(B53,5)</f>
        <v>34214</v>
      </c>
      <c r="B53" t="s">
        <v>155</v>
      </c>
      <c r="C53" t="s">
        <v>156</v>
      </c>
      <c r="D53" t="s">
        <v>21</v>
      </c>
      <c r="E53" t="s">
        <v>22</v>
      </c>
      <c r="F53" t="s">
        <v>157</v>
      </c>
      <c r="G53" t="s">
        <v>158</v>
      </c>
      <c r="H53">
        <v>30</v>
      </c>
      <c r="I53">
        <v>6</v>
      </c>
      <c r="J53">
        <v>0</v>
      </c>
      <c r="K53">
        <v>30</v>
      </c>
      <c r="L53">
        <v>6</v>
      </c>
      <c r="M53">
        <v>0</v>
      </c>
      <c r="N53">
        <v>30</v>
      </c>
      <c r="O53">
        <v>6</v>
      </c>
      <c r="P53">
        <v>0</v>
      </c>
      <c r="Q53">
        <v>34</v>
      </c>
      <c r="R53">
        <v>2</v>
      </c>
      <c r="S53">
        <v>0</v>
      </c>
    </row>
    <row r="54" spans="1:19" ht="15.75" customHeight="1" x14ac:dyDescent="0.3">
      <c r="A54" t="str">
        <f>LEFT(B54,5)</f>
        <v>34215</v>
      </c>
      <c r="B54" t="s">
        <v>159</v>
      </c>
      <c r="C54" t="s">
        <v>160</v>
      </c>
      <c r="D54" t="s">
        <v>21</v>
      </c>
      <c r="E54" t="s">
        <v>22</v>
      </c>
      <c r="F54" t="s">
        <v>161</v>
      </c>
      <c r="G54" t="s">
        <v>162</v>
      </c>
      <c r="H54">
        <v>23</v>
      </c>
      <c r="I54">
        <v>42</v>
      </c>
      <c r="J54">
        <v>0</v>
      </c>
      <c r="K54">
        <v>25</v>
      </c>
      <c r="L54">
        <v>40</v>
      </c>
      <c r="M54">
        <v>0</v>
      </c>
      <c r="N54">
        <v>25</v>
      </c>
      <c r="O54">
        <v>40</v>
      </c>
      <c r="P54">
        <v>0</v>
      </c>
      <c r="Q54">
        <v>23</v>
      </c>
      <c r="R54">
        <v>42</v>
      </c>
      <c r="S54">
        <v>0</v>
      </c>
    </row>
    <row r="55" spans="1:19" ht="15.75" customHeight="1" x14ac:dyDescent="0.3">
      <c r="A55" t="str">
        <f>LEFT(B55,5)</f>
        <v>34302</v>
      </c>
      <c r="B55" t="s">
        <v>163</v>
      </c>
      <c r="C55" t="s">
        <v>164</v>
      </c>
      <c r="D55" t="s">
        <v>21</v>
      </c>
      <c r="E55" t="s">
        <v>22</v>
      </c>
      <c r="F55" t="s">
        <v>100</v>
      </c>
      <c r="G55" t="s">
        <v>165</v>
      </c>
      <c r="H55">
        <v>65</v>
      </c>
      <c r="I55" t="s">
        <v>37</v>
      </c>
      <c r="J55">
        <v>6789</v>
      </c>
      <c r="K55">
        <v>65</v>
      </c>
      <c r="L55" t="s">
        <v>37</v>
      </c>
      <c r="M55">
        <v>13173</v>
      </c>
      <c r="N55">
        <v>65</v>
      </c>
      <c r="O55" t="s">
        <v>37</v>
      </c>
      <c r="P55">
        <v>0</v>
      </c>
      <c r="Q55">
        <v>65</v>
      </c>
      <c r="R55" t="s">
        <v>37</v>
      </c>
      <c r="S55">
        <v>22689</v>
      </c>
    </row>
    <row r="56" spans="1:19" ht="15.75" customHeight="1" x14ac:dyDescent="0.3">
      <c r="A56" t="str">
        <f>LEFT(B56,5)</f>
        <v>34308</v>
      </c>
      <c r="B56" t="s">
        <v>166</v>
      </c>
      <c r="C56" t="s">
        <v>167</v>
      </c>
      <c r="D56" t="s">
        <v>21</v>
      </c>
      <c r="E56" t="s">
        <v>22</v>
      </c>
      <c r="F56" t="s">
        <v>29</v>
      </c>
      <c r="G56" t="s">
        <v>168</v>
      </c>
      <c r="H56">
        <v>65</v>
      </c>
      <c r="I56" t="s">
        <v>37</v>
      </c>
      <c r="J56">
        <v>123</v>
      </c>
      <c r="K56">
        <v>65</v>
      </c>
      <c r="L56" t="s">
        <v>37</v>
      </c>
      <c r="M56">
        <v>400</v>
      </c>
      <c r="N56">
        <v>65</v>
      </c>
      <c r="O56" t="s">
        <v>37</v>
      </c>
      <c r="P56">
        <v>0</v>
      </c>
      <c r="Q56">
        <v>65</v>
      </c>
      <c r="R56" t="s">
        <v>37</v>
      </c>
      <c r="S56">
        <v>14405</v>
      </c>
    </row>
    <row r="57" spans="1:19" ht="15.75" customHeight="1" x14ac:dyDescent="0.3">
      <c r="A57" t="str">
        <f>LEFT(B57,5)</f>
        <v>34902</v>
      </c>
      <c r="B57" t="s">
        <v>169</v>
      </c>
      <c r="C57" t="s">
        <v>170</v>
      </c>
      <c r="D57" t="s">
        <v>21</v>
      </c>
      <c r="E57" t="s">
        <v>22</v>
      </c>
      <c r="F57" t="s">
        <v>171</v>
      </c>
      <c r="G57" t="s">
        <v>172</v>
      </c>
      <c r="H57">
        <v>14</v>
      </c>
      <c r="I57">
        <v>6</v>
      </c>
      <c r="J57">
        <v>0</v>
      </c>
      <c r="K57">
        <v>14</v>
      </c>
      <c r="L57">
        <v>6</v>
      </c>
      <c r="M57">
        <v>0</v>
      </c>
      <c r="P57" t="s">
        <v>25</v>
      </c>
      <c r="Q57">
        <v>17</v>
      </c>
      <c r="R57">
        <v>3</v>
      </c>
      <c r="S57">
        <v>0</v>
      </c>
    </row>
    <row r="58" spans="1:19" ht="15.75" customHeight="1" x14ac:dyDescent="0.3">
      <c r="A58" t="str">
        <f>LEFT(B58,5)</f>
        <v>34904</v>
      </c>
      <c r="B58" t="s">
        <v>173</v>
      </c>
      <c r="C58" t="s">
        <v>174</v>
      </c>
      <c r="D58" t="s">
        <v>21</v>
      </c>
      <c r="E58" t="s">
        <v>22</v>
      </c>
      <c r="F58" t="s">
        <v>175</v>
      </c>
      <c r="G58" t="s">
        <v>176</v>
      </c>
      <c r="H58">
        <v>2</v>
      </c>
      <c r="I58">
        <v>33</v>
      </c>
      <c r="J58">
        <v>0</v>
      </c>
      <c r="K58">
        <v>3</v>
      </c>
      <c r="L58">
        <v>32</v>
      </c>
      <c r="M58">
        <v>0</v>
      </c>
      <c r="P58" t="s">
        <v>25</v>
      </c>
      <c r="Q58">
        <v>6</v>
      </c>
      <c r="R58">
        <v>29</v>
      </c>
      <c r="S58">
        <v>0</v>
      </c>
    </row>
    <row r="59" spans="1:19" ht="15.75" customHeight="1" x14ac:dyDescent="0.3">
      <c r="A59" t="str">
        <f>LEFT(B59,5)</f>
        <v>35000</v>
      </c>
      <c r="B59" t="s">
        <v>177</v>
      </c>
      <c r="C59" t="s">
        <v>178</v>
      </c>
      <c r="D59" t="s">
        <v>21</v>
      </c>
      <c r="E59" t="s">
        <v>22</v>
      </c>
      <c r="F59" t="s">
        <v>73</v>
      </c>
      <c r="G59" t="s">
        <v>179</v>
      </c>
      <c r="H59">
        <v>65</v>
      </c>
      <c r="I59" t="s">
        <v>37</v>
      </c>
      <c r="J59">
        <v>2111</v>
      </c>
      <c r="K59">
        <v>65</v>
      </c>
      <c r="L59" t="s">
        <v>37</v>
      </c>
      <c r="M59">
        <v>4500</v>
      </c>
      <c r="P59" t="s">
        <v>25</v>
      </c>
      <c r="Q59">
        <v>65</v>
      </c>
      <c r="R59" t="s">
        <v>37</v>
      </c>
      <c r="S59">
        <v>2000</v>
      </c>
    </row>
    <row r="60" spans="1:19" s="1" customFormat="1" ht="15.75" customHeight="1" x14ac:dyDescent="0.3">
      <c r="A60" s="1" t="str">
        <f>LEFT(B60,5)</f>
        <v>35000</v>
      </c>
      <c r="B60" s="1" t="s">
        <v>180</v>
      </c>
      <c r="C60" s="1" t="s">
        <v>178</v>
      </c>
      <c r="D60" s="1" t="s">
        <v>21</v>
      </c>
      <c r="E60" s="1" t="s">
        <v>22</v>
      </c>
      <c r="F60" s="1" t="s">
        <v>44</v>
      </c>
      <c r="G60" s="1" t="s">
        <v>179</v>
      </c>
      <c r="H60" s="1">
        <v>65</v>
      </c>
      <c r="I60" s="1" t="s">
        <v>37</v>
      </c>
      <c r="J60" s="1">
        <v>0</v>
      </c>
      <c r="K60" s="1">
        <v>65</v>
      </c>
      <c r="L60" s="1" t="s">
        <v>37</v>
      </c>
      <c r="M60" s="1">
        <v>0</v>
      </c>
      <c r="P60" s="1" t="s">
        <v>25</v>
      </c>
      <c r="Q60" s="1">
        <v>65</v>
      </c>
      <c r="R60" s="1" t="s">
        <v>37</v>
      </c>
      <c r="S60" s="1">
        <v>16</v>
      </c>
    </row>
    <row r="61" spans="1:19" ht="15.75" customHeight="1" x14ac:dyDescent="0.3">
      <c r="A61" t="str">
        <f>LEFT(B61,5)</f>
        <v>35000</v>
      </c>
      <c r="B61" t="s">
        <v>181</v>
      </c>
      <c r="C61" t="s">
        <v>178</v>
      </c>
      <c r="D61" t="s">
        <v>21</v>
      </c>
      <c r="E61" t="s">
        <v>22</v>
      </c>
      <c r="F61" t="s">
        <v>35</v>
      </c>
      <c r="G61" t="s">
        <v>182</v>
      </c>
      <c r="H61">
        <v>46</v>
      </c>
      <c r="I61">
        <v>19</v>
      </c>
      <c r="J61">
        <v>0</v>
      </c>
      <c r="K61">
        <v>53</v>
      </c>
      <c r="L61">
        <v>12</v>
      </c>
      <c r="M61">
        <v>0</v>
      </c>
      <c r="P61" t="s">
        <v>25</v>
      </c>
      <c r="Q61">
        <v>51</v>
      </c>
      <c r="R61">
        <v>14</v>
      </c>
      <c r="S61">
        <v>0</v>
      </c>
    </row>
    <row r="62" spans="1:19" ht="15.75" customHeight="1" x14ac:dyDescent="0.3">
      <c r="A62" t="str">
        <f>LEFT(B62,5)</f>
        <v>35000</v>
      </c>
      <c r="B62" t="s">
        <v>183</v>
      </c>
      <c r="C62" t="s">
        <v>178</v>
      </c>
      <c r="D62" t="s">
        <v>21</v>
      </c>
      <c r="E62" t="s">
        <v>22</v>
      </c>
      <c r="F62" t="s">
        <v>39</v>
      </c>
      <c r="G62" t="s">
        <v>182</v>
      </c>
      <c r="H62">
        <v>36</v>
      </c>
      <c r="I62">
        <v>29</v>
      </c>
      <c r="J62">
        <v>0</v>
      </c>
      <c r="K62">
        <v>49</v>
      </c>
      <c r="L62">
        <v>16</v>
      </c>
      <c r="M62">
        <v>0</v>
      </c>
      <c r="P62" t="s">
        <v>25</v>
      </c>
      <c r="Q62">
        <v>52</v>
      </c>
      <c r="R62">
        <v>13</v>
      </c>
      <c r="S62">
        <v>0</v>
      </c>
    </row>
    <row r="63" spans="1:19" ht="15.75" customHeight="1" x14ac:dyDescent="0.3">
      <c r="A63" t="str">
        <f>LEFT(B63,5)</f>
        <v>35000</v>
      </c>
      <c r="B63" t="s">
        <v>184</v>
      </c>
      <c r="C63" t="s">
        <v>178</v>
      </c>
      <c r="D63" t="s">
        <v>21</v>
      </c>
      <c r="E63" t="s">
        <v>22</v>
      </c>
      <c r="F63" t="s">
        <v>105</v>
      </c>
      <c r="G63" t="s">
        <v>179</v>
      </c>
      <c r="H63">
        <v>24</v>
      </c>
      <c r="I63">
        <v>41</v>
      </c>
      <c r="J63">
        <v>0</v>
      </c>
      <c r="K63">
        <v>24</v>
      </c>
      <c r="L63">
        <v>41</v>
      </c>
      <c r="M63">
        <v>0</v>
      </c>
      <c r="N63">
        <v>25</v>
      </c>
      <c r="O63">
        <v>40</v>
      </c>
      <c r="P63">
        <v>0</v>
      </c>
      <c r="Q63">
        <v>43</v>
      </c>
      <c r="R63">
        <v>22</v>
      </c>
      <c r="S63">
        <v>0</v>
      </c>
    </row>
    <row r="64" spans="1:19" ht="15.75" customHeight="1" x14ac:dyDescent="0.3">
      <c r="A64" t="str">
        <f>LEFT(B64,5)</f>
        <v>35000</v>
      </c>
      <c r="B64" t="s">
        <v>185</v>
      </c>
      <c r="C64" t="s">
        <v>178</v>
      </c>
      <c r="D64" t="s">
        <v>21</v>
      </c>
      <c r="E64" t="s">
        <v>22</v>
      </c>
      <c r="F64" t="s">
        <v>41</v>
      </c>
      <c r="G64" t="s">
        <v>182</v>
      </c>
      <c r="H64">
        <v>25</v>
      </c>
      <c r="I64">
        <v>40</v>
      </c>
      <c r="J64">
        <v>0</v>
      </c>
      <c r="K64">
        <v>23</v>
      </c>
      <c r="L64">
        <v>42</v>
      </c>
      <c r="M64">
        <v>0</v>
      </c>
      <c r="N64">
        <v>25</v>
      </c>
      <c r="O64">
        <v>40</v>
      </c>
      <c r="P64">
        <v>0</v>
      </c>
      <c r="Q64">
        <v>24</v>
      </c>
      <c r="R64">
        <v>41</v>
      </c>
      <c r="S64">
        <v>0</v>
      </c>
    </row>
    <row r="65" spans="1:19" ht="15.75" customHeight="1" x14ac:dyDescent="0.3">
      <c r="A65" t="str">
        <f>LEFT(B65,5)</f>
        <v>35001</v>
      </c>
      <c r="B65" t="s">
        <v>186</v>
      </c>
      <c r="C65" t="s">
        <v>187</v>
      </c>
      <c r="D65" t="s">
        <v>21</v>
      </c>
      <c r="E65" t="s">
        <v>22</v>
      </c>
      <c r="F65" t="s">
        <v>44</v>
      </c>
      <c r="G65" t="s">
        <v>188</v>
      </c>
      <c r="H65">
        <v>16</v>
      </c>
      <c r="I65">
        <v>49</v>
      </c>
      <c r="J65">
        <v>0</v>
      </c>
      <c r="K65">
        <v>17</v>
      </c>
      <c r="L65">
        <v>48</v>
      </c>
      <c r="M65">
        <v>0</v>
      </c>
      <c r="N65">
        <v>17</v>
      </c>
      <c r="O65">
        <v>48</v>
      </c>
      <c r="P65">
        <v>0</v>
      </c>
      <c r="Q65">
        <v>15</v>
      </c>
      <c r="R65">
        <v>50</v>
      </c>
      <c r="S65">
        <v>0</v>
      </c>
    </row>
    <row r="66" spans="1:19" ht="15.75" customHeight="1" x14ac:dyDescent="0.3">
      <c r="A66" t="str">
        <f>LEFT(B66,5)</f>
        <v>35001</v>
      </c>
      <c r="B66" t="s">
        <v>189</v>
      </c>
      <c r="C66" t="s">
        <v>187</v>
      </c>
      <c r="D66" t="s">
        <v>21</v>
      </c>
      <c r="E66" t="s">
        <v>22</v>
      </c>
      <c r="F66" t="s">
        <v>31</v>
      </c>
      <c r="G66" t="s">
        <v>188</v>
      </c>
      <c r="H66">
        <v>19</v>
      </c>
      <c r="I66">
        <v>46</v>
      </c>
      <c r="J66">
        <v>0</v>
      </c>
      <c r="K66">
        <v>21</v>
      </c>
      <c r="L66">
        <v>44</v>
      </c>
      <c r="M66">
        <v>0</v>
      </c>
      <c r="N66">
        <v>21</v>
      </c>
      <c r="O66">
        <v>44</v>
      </c>
      <c r="P66">
        <v>0</v>
      </c>
      <c r="Q66">
        <v>25</v>
      </c>
      <c r="R66">
        <v>40</v>
      </c>
      <c r="S66">
        <v>0</v>
      </c>
    </row>
    <row r="67" spans="1:19" ht="15.75" customHeight="1" x14ac:dyDescent="0.3">
      <c r="A67" t="str">
        <f>LEFT(B67,5)</f>
        <v>35010</v>
      </c>
      <c r="B67" t="s">
        <v>190</v>
      </c>
      <c r="C67" t="s">
        <v>191</v>
      </c>
      <c r="D67" t="s">
        <v>21</v>
      </c>
      <c r="E67" t="s">
        <v>22</v>
      </c>
      <c r="F67" t="s">
        <v>47</v>
      </c>
      <c r="G67" t="s">
        <v>188</v>
      </c>
      <c r="H67">
        <v>32</v>
      </c>
      <c r="I67">
        <v>33</v>
      </c>
      <c r="J67">
        <v>0</v>
      </c>
      <c r="K67">
        <v>33</v>
      </c>
      <c r="L67">
        <v>32</v>
      </c>
      <c r="M67">
        <v>0</v>
      </c>
      <c r="P67" t="s">
        <v>25</v>
      </c>
      <c r="Q67">
        <v>29</v>
      </c>
      <c r="R67">
        <v>36</v>
      </c>
      <c r="S67">
        <v>0</v>
      </c>
    </row>
    <row r="68" spans="1:19" ht="15.75" customHeight="1" x14ac:dyDescent="0.3">
      <c r="A68" t="str">
        <f>LEFT(B68,5)</f>
        <v>35100</v>
      </c>
      <c r="B68" t="s">
        <v>192</v>
      </c>
      <c r="C68" t="s">
        <v>193</v>
      </c>
      <c r="D68" t="s">
        <v>21</v>
      </c>
      <c r="E68" t="s">
        <v>22</v>
      </c>
      <c r="F68" t="s">
        <v>27</v>
      </c>
      <c r="G68" t="s">
        <v>194</v>
      </c>
      <c r="H68">
        <v>34</v>
      </c>
      <c r="I68">
        <v>31</v>
      </c>
      <c r="J68">
        <v>0</v>
      </c>
      <c r="K68">
        <v>38</v>
      </c>
      <c r="L68">
        <v>27</v>
      </c>
      <c r="M68">
        <v>0</v>
      </c>
      <c r="P68" t="s">
        <v>25</v>
      </c>
      <c r="Q68">
        <v>39</v>
      </c>
      <c r="R68">
        <v>26</v>
      </c>
      <c r="S68">
        <v>0</v>
      </c>
    </row>
    <row r="69" spans="1:19" ht="15.75" customHeight="1" x14ac:dyDescent="0.3">
      <c r="A69" t="str">
        <f>LEFT(B69,5)</f>
        <v>35126</v>
      </c>
      <c r="B69" t="s">
        <v>195</v>
      </c>
      <c r="C69" t="s">
        <v>196</v>
      </c>
      <c r="D69" t="s">
        <v>21</v>
      </c>
      <c r="E69" t="s">
        <v>22</v>
      </c>
      <c r="F69" t="s">
        <v>23</v>
      </c>
      <c r="G69" t="s">
        <v>197</v>
      </c>
      <c r="H69">
        <v>65</v>
      </c>
      <c r="I69" t="s">
        <v>37</v>
      </c>
      <c r="J69">
        <v>1001</v>
      </c>
      <c r="K69">
        <v>65</v>
      </c>
      <c r="L69" t="s">
        <v>37</v>
      </c>
      <c r="M69">
        <v>8000</v>
      </c>
      <c r="P69" t="s">
        <v>25</v>
      </c>
      <c r="Q69">
        <v>65</v>
      </c>
      <c r="R69" t="s">
        <v>37</v>
      </c>
      <c r="S69">
        <v>1021</v>
      </c>
    </row>
    <row r="70" spans="1:19" ht="15.75" customHeight="1" x14ac:dyDescent="0.3">
      <c r="A70" t="str">
        <f>LEFT(B70,5)</f>
        <v>35126</v>
      </c>
      <c r="B70" t="s">
        <v>198</v>
      </c>
      <c r="C70" t="s">
        <v>196</v>
      </c>
      <c r="D70" t="s">
        <v>21</v>
      </c>
      <c r="E70" t="s">
        <v>22</v>
      </c>
      <c r="F70" t="s">
        <v>35</v>
      </c>
      <c r="G70" t="s">
        <v>197</v>
      </c>
      <c r="H70">
        <v>56</v>
      </c>
      <c r="I70">
        <v>9</v>
      </c>
      <c r="J70">
        <v>0</v>
      </c>
      <c r="K70">
        <v>62</v>
      </c>
      <c r="L70">
        <v>3</v>
      </c>
      <c r="M70">
        <v>0</v>
      </c>
      <c r="N70">
        <v>62</v>
      </c>
      <c r="O70">
        <v>3</v>
      </c>
      <c r="P70">
        <v>0</v>
      </c>
      <c r="Q70">
        <v>64</v>
      </c>
      <c r="R70">
        <v>1</v>
      </c>
      <c r="S70">
        <v>0</v>
      </c>
    </row>
    <row r="71" spans="1:19" ht="15.75" customHeight="1" x14ac:dyDescent="0.3">
      <c r="A71" t="str">
        <f>LEFT(B71,5)</f>
        <v>35126</v>
      </c>
      <c r="B71" t="s">
        <v>199</v>
      </c>
      <c r="C71" t="s">
        <v>196</v>
      </c>
      <c r="D71" t="s">
        <v>21</v>
      </c>
      <c r="E71" t="s">
        <v>22</v>
      </c>
      <c r="F71" t="s">
        <v>52</v>
      </c>
      <c r="G71" t="s">
        <v>197</v>
      </c>
      <c r="H71">
        <v>27</v>
      </c>
      <c r="I71">
        <v>38</v>
      </c>
      <c r="J71">
        <v>0</v>
      </c>
      <c r="K71">
        <v>29</v>
      </c>
      <c r="L71">
        <v>36</v>
      </c>
      <c r="M71">
        <v>0</v>
      </c>
      <c r="N71">
        <v>29</v>
      </c>
      <c r="O71">
        <v>36</v>
      </c>
      <c r="P71">
        <v>0</v>
      </c>
      <c r="Q71">
        <v>62</v>
      </c>
      <c r="R71">
        <v>3</v>
      </c>
      <c r="S71">
        <v>0</v>
      </c>
    </row>
    <row r="72" spans="1:19" ht="15.75" customHeight="1" x14ac:dyDescent="0.3">
      <c r="A72" t="str">
        <f>LEFT(B72,5)</f>
        <v>35137</v>
      </c>
      <c r="B72" t="s">
        <v>200</v>
      </c>
      <c r="C72" t="s">
        <v>201</v>
      </c>
      <c r="D72" t="s">
        <v>21</v>
      </c>
      <c r="E72" t="s">
        <v>22</v>
      </c>
      <c r="F72" t="s">
        <v>39</v>
      </c>
      <c r="G72" t="s">
        <v>202</v>
      </c>
      <c r="H72">
        <v>21</v>
      </c>
      <c r="I72">
        <v>44</v>
      </c>
      <c r="J72">
        <v>0</v>
      </c>
      <c r="K72">
        <v>22</v>
      </c>
      <c r="L72">
        <v>43</v>
      </c>
      <c r="M72">
        <v>0</v>
      </c>
      <c r="P72" t="s">
        <v>25</v>
      </c>
      <c r="Q72">
        <v>24</v>
      </c>
      <c r="R72">
        <v>41</v>
      </c>
      <c r="S72">
        <v>0</v>
      </c>
    </row>
    <row r="73" spans="1:19" ht="15.75" customHeight="1" x14ac:dyDescent="0.3">
      <c r="A73" t="str">
        <f>LEFT(B73,5)</f>
        <v>35137</v>
      </c>
      <c r="B73" t="s">
        <v>203</v>
      </c>
      <c r="C73" t="s">
        <v>201</v>
      </c>
      <c r="D73" t="s">
        <v>21</v>
      </c>
      <c r="E73" t="s">
        <v>22</v>
      </c>
      <c r="F73" t="s">
        <v>80</v>
      </c>
      <c r="G73" t="s">
        <v>202</v>
      </c>
      <c r="H73">
        <v>50</v>
      </c>
      <c r="I73">
        <v>15</v>
      </c>
      <c r="J73">
        <v>0</v>
      </c>
      <c r="K73">
        <v>50</v>
      </c>
      <c r="L73">
        <v>15</v>
      </c>
      <c r="M73">
        <v>0</v>
      </c>
      <c r="N73">
        <v>50</v>
      </c>
      <c r="O73">
        <v>15</v>
      </c>
      <c r="P73">
        <v>0</v>
      </c>
      <c r="Q73">
        <v>49</v>
      </c>
      <c r="R73">
        <v>16</v>
      </c>
      <c r="S73">
        <v>0</v>
      </c>
    </row>
    <row r="74" spans="1:19" ht="15.75" customHeight="1" x14ac:dyDescent="0.3">
      <c r="A74" t="str">
        <f>LEFT(B74,5)</f>
        <v>35200</v>
      </c>
      <c r="B74" t="s">
        <v>204</v>
      </c>
      <c r="C74" t="s">
        <v>205</v>
      </c>
      <c r="D74" t="s">
        <v>21</v>
      </c>
      <c r="E74" t="s">
        <v>22</v>
      </c>
      <c r="F74" t="s">
        <v>73</v>
      </c>
      <c r="G74" t="s">
        <v>206</v>
      </c>
      <c r="H74">
        <v>65</v>
      </c>
      <c r="I74" t="s">
        <v>37</v>
      </c>
      <c r="J74">
        <v>1012</v>
      </c>
      <c r="K74">
        <v>65</v>
      </c>
      <c r="L74" t="s">
        <v>37</v>
      </c>
      <c r="M74">
        <v>3314</v>
      </c>
      <c r="P74" t="s">
        <v>25</v>
      </c>
      <c r="Q74">
        <v>65</v>
      </c>
      <c r="R74" t="s">
        <v>37</v>
      </c>
      <c r="S74">
        <v>6000</v>
      </c>
    </row>
    <row r="75" spans="1:19" ht="15.75" customHeight="1" x14ac:dyDescent="0.3">
      <c r="A75" t="str">
        <f>LEFT(B75,5)</f>
        <v>35200</v>
      </c>
      <c r="B75" t="s">
        <v>207</v>
      </c>
      <c r="C75" t="s">
        <v>205</v>
      </c>
      <c r="D75" t="s">
        <v>21</v>
      </c>
      <c r="E75" t="s">
        <v>22</v>
      </c>
      <c r="F75" t="s">
        <v>44</v>
      </c>
      <c r="G75" t="s">
        <v>206</v>
      </c>
      <c r="H75">
        <v>65</v>
      </c>
      <c r="I75" t="s">
        <v>37</v>
      </c>
      <c r="J75">
        <v>0</v>
      </c>
      <c r="K75">
        <v>65</v>
      </c>
      <c r="L75" t="s">
        <v>37</v>
      </c>
      <c r="M75">
        <v>1833</v>
      </c>
      <c r="P75" t="s">
        <v>25</v>
      </c>
      <c r="Q75">
        <v>65</v>
      </c>
      <c r="R75" t="s">
        <v>37</v>
      </c>
      <c r="S75">
        <v>6501</v>
      </c>
    </row>
    <row r="76" spans="1:19" ht="15.75" customHeight="1" x14ac:dyDescent="0.3">
      <c r="A76" t="str">
        <f>LEFT(B76,5)</f>
        <v>35200</v>
      </c>
      <c r="B76" t="s">
        <v>208</v>
      </c>
      <c r="C76" t="s">
        <v>205</v>
      </c>
      <c r="D76" t="s">
        <v>21</v>
      </c>
      <c r="E76" t="s">
        <v>22</v>
      </c>
      <c r="F76" t="s">
        <v>52</v>
      </c>
      <c r="G76" t="s">
        <v>209</v>
      </c>
      <c r="H76">
        <v>24</v>
      </c>
      <c r="I76">
        <v>41</v>
      </c>
      <c r="J76">
        <v>0</v>
      </c>
      <c r="K76">
        <v>25</v>
      </c>
      <c r="L76">
        <v>40</v>
      </c>
      <c r="M76">
        <v>0</v>
      </c>
      <c r="N76">
        <v>25</v>
      </c>
      <c r="O76">
        <v>40</v>
      </c>
      <c r="P76">
        <v>0</v>
      </c>
      <c r="Q76">
        <v>36</v>
      </c>
      <c r="R76">
        <v>29</v>
      </c>
      <c r="S76">
        <v>0</v>
      </c>
    </row>
    <row r="77" spans="1:19" ht="15.75" customHeight="1" x14ac:dyDescent="0.3">
      <c r="A77" t="str">
        <f>LEFT(B77,5)</f>
        <v>35201</v>
      </c>
      <c r="B77" t="s">
        <v>210</v>
      </c>
      <c r="C77" t="s">
        <v>211</v>
      </c>
      <c r="D77" t="s">
        <v>21</v>
      </c>
      <c r="E77" t="s">
        <v>22</v>
      </c>
      <c r="F77" t="s">
        <v>73</v>
      </c>
      <c r="G77" t="s">
        <v>212</v>
      </c>
      <c r="H77">
        <v>65</v>
      </c>
      <c r="I77" t="s">
        <v>37</v>
      </c>
      <c r="J77">
        <v>9290</v>
      </c>
      <c r="K77">
        <v>65</v>
      </c>
      <c r="L77" t="s">
        <v>37</v>
      </c>
      <c r="M77">
        <v>15999</v>
      </c>
      <c r="N77">
        <v>65</v>
      </c>
      <c r="O77" t="s">
        <v>37</v>
      </c>
      <c r="P77">
        <v>0</v>
      </c>
      <c r="Q77">
        <v>65</v>
      </c>
      <c r="R77" t="s">
        <v>37</v>
      </c>
      <c r="S77">
        <v>0</v>
      </c>
    </row>
    <row r="78" spans="1:19" ht="15.75" customHeight="1" x14ac:dyDescent="0.3">
      <c r="A78" t="str">
        <f>LEFT(B78,5)</f>
        <v>35207</v>
      </c>
      <c r="B78" t="s">
        <v>213</v>
      </c>
      <c r="C78" t="s">
        <v>214</v>
      </c>
      <c r="D78" t="s">
        <v>21</v>
      </c>
      <c r="E78" t="s">
        <v>22</v>
      </c>
      <c r="F78" t="s">
        <v>47</v>
      </c>
      <c r="G78" t="s">
        <v>215</v>
      </c>
      <c r="H78">
        <v>65</v>
      </c>
      <c r="I78" t="s">
        <v>37</v>
      </c>
      <c r="J78">
        <v>578</v>
      </c>
      <c r="K78">
        <v>65</v>
      </c>
      <c r="L78" t="s">
        <v>37</v>
      </c>
      <c r="M78">
        <v>3007</v>
      </c>
      <c r="N78">
        <v>65</v>
      </c>
      <c r="O78" t="s">
        <v>37</v>
      </c>
      <c r="P78">
        <v>0</v>
      </c>
      <c r="Q78">
        <v>65</v>
      </c>
      <c r="R78" t="s">
        <v>37</v>
      </c>
      <c r="S78">
        <v>4011</v>
      </c>
    </row>
    <row r="79" spans="1:19" ht="15.75" customHeight="1" x14ac:dyDescent="0.3">
      <c r="A79" t="str">
        <f>LEFT(B79,5)</f>
        <v>35207</v>
      </c>
      <c r="B79" t="s">
        <v>216</v>
      </c>
      <c r="C79" t="s">
        <v>214</v>
      </c>
      <c r="D79" t="s">
        <v>21</v>
      </c>
      <c r="E79" t="s">
        <v>22</v>
      </c>
      <c r="F79" t="s">
        <v>31</v>
      </c>
      <c r="G79" t="s">
        <v>215</v>
      </c>
      <c r="H79">
        <v>32</v>
      </c>
      <c r="I79">
        <v>33</v>
      </c>
      <c r="J79">
        <v>0</v>
      </c>
      <c r="K79">
        <v>30</v>
      </c>
      <c r="L79">
        <v>35</v>
      </c>
      <c r="M79">
        <v>0</v>
      </c>
      <c r="N79">
        <v>30</v>
      </c>
      <c r="O79">
        <v>35</v>
      </c>
      <c r="P79">
        <v>0</v>
      </c>
      <c r="Q79">
        <v>43</v>
      </c>
      <c r="R79">
        <v>22</v>
      </c>
      <c r="S79">
        <v>0</v>
      </c>
    </row>
    <row r="80" spans="1:19" ht="15.75" customHeight="1" x14ac:dyDescent="0.3">
      <c r="A80" t="str">
        <f>LEFT(B80,5)</f>
        <v>35213</v>
      </c>
      <c r="B80" t="s">
        <v>217</v>
      </c>
      <c r="C80" t="s">
        <v>218</v>
      </c>
      <c r="D80" t="s">
        <v>21</v>
      </c>
      <c r="E80" t="s">
        <v>22</v>
      </c>
      <c r="F80" t="s">
        <v>219</v>
      </c>
      <c r="G80" t="s">
        <v>220</v>
      </c>
      <c r="H80">
        <v>65</v>
      </c>
      <c r="I80" t="s">
        <v>37</v>
      </c>
      <c r="J80">
        <v>199</v>
      </c>
      <c r="K80">
        <v>65</v>
      </c>
      <c r="L80" t="s">
        <v>37</v>
      </c>
      <c r="M80">
        <v>10000</v>
      </c>
      <c r="N80">
        <v>65</v>
      </c>
      <c r="O80" t="s">
        <v>37</v>
      </c>
      <c r="P80">
        <v>0</v>
      </c>
      <c r="Q80">
        <v>65</v>
      </c>
      <c r="R80" t="s">
        <v>37</v>
      </c>
      <c r="S80">
        <v>0</v>
      </c>
    </row>
    <row r="81" spans="1:19" ht="15.75" customHeight="1" x14ac:dyDescent="0.3">
      <c r="A81" t="str">
        <f>LEFT(B81,5)</f>
        <v>35600</v>
      </c>
      <c r="B81" t="s">
        <v>221</v>
      </c>
      <c r="C81" t="s">
        <v>222</v>
      </c>
      <c r="D81" t="s">
        <v>21</v>
      </c>
      <c r="E81" t="s">
        <v>22</v>
      </c>
      <c r="F81" t="s">
        <v>223</v>
      </c>
      <c r="G81" t="s">
        <v>224</v>
      </c>
      <c r="H81">
        <v>0</v>
      </c>
      <c r="I81">
        <v>30</v>
      </c>
      <c r="J81">
        <v>0</v>
      </c>
      <c r="K81">
        <v>0</v>
      </c>
      <c r="L81">
        <v>30</v>
      </c>
      <c r="M81">
        <v>0</v>
      </c>
      <c r="P81" t="s">
        <v>25</v>
      </c>
      <c r="Q81">
        <v>3</v>
      </c>
      <c r="R81">
        <v>27</v>
      </c>
      <c r="S81">
        <v>0</v>
      </c>
    </row>
    <row r="82" spans="1:19" ht="15.75" customHeight="1" x14ac:dyDescent="0.3">
      <c r="A82" t="str">
        <f>LEFT(B82,5)</f>
        <v>35916</v>
      </c>
      <c r="B82" t="s">
        <v>225</v>
      </c>
      <c r="C82" t="s">
        <v>226</v>
      </c>
      <c r="D82" t="s">
        <v>21</v>
      </c>
      <c r="E82" t="s">
        <v>22</v>
      </c>
      <c r="F82" t="s">
        <v>227</v>
      </c>
      <c r="G82" t="s">
        <v>228</v>
      </c>
      <c r="H82">
        <v>6</v>
      </c>
      <c r="I82">
        <v>16</v>
      </c>
      <c r="J82">
        <v>0</v>
      </c>
      <c r="K82">
        <v>7</v>
      </c>
      <c r="L82">
        <v>15</v>
      </c>
      <c r="M82">
        <v>0</v>
      </c>
      <c r="P82" t="s">
        <v>25</v>
      </c>
      <c r="Q82">
        <v>9</v>
      </c>
      <c r="R82">
        <v>13</v>
      </c>
      <c r="S82">
        <v>0</v>
      </c>
    </row>
    <row r="83" spans="1:19" ht="15.75" customHeight="1" x14ac:dyDescent="0.3">
      <c r="A83" t="str">
        <f>LEFT(B83,5)</f>
        <v>35931</v>
      </c>
      <c r="B83" t="s">
        <v>229</v>
      </c>
      <c r="C83" t="s">
        <v>230</v>
      </c>
      <c r="D83" t="s">
        <v>21</v>
      </c>
      <c r="E83" t="s">
        <v>22</v>
      </c>
      <c r="F83" t="s">
        <v>231</v>
      </c>
      <c r="G83" t="s">
        <v>232</v>
      </c>
      <c r="H83">
        <v>3</v>
      </c>
      <c r="I83">
        <v>17</v>
      </c>
      <c r="J83">
        <v>0</v>
      </c>
      <c r="K83">
        <v>3</v>
      </c>
      <c r="L83">
        <v>17</v>
      </c>
      <c r="M83">
        <v>0</v>
      </c>
      <c r="P83" t="s">
        <v>25</v>
      </c>
      <c r="Q83">
        <v>3</v>
      </c>
      <c r="R83">
        <v>17</v>
      </c>
      <c r="S83">
        <v>0</v>
      </c>
    </row>
    <row r="84" spans="1:19" ht="15.75" customHeight="1" x14ac:dyDescent="0.3">
      <c r="A84" t="str">
        <f>LEFT(B84,5)</f>
        <v>35931</v>
      </c>
      <c r="B84" t="s">
        <v>233</v>
      </c>
      <c r="C84" t="s">
        <v>230</v>
      </c>
      <c r="D84" t="s">
        <v>21</v>
      </c>
      <c r="E84" t="s">
        <v>22</v>
      </c>
      <c r="F84" t="s">
        <v>234</v>
      </c>
      <c r="G84" t="s">
        <v>235</v>
      </c>
      <c r="H84">
        <v>0</v>
      </c>
      <c r="I84">
        <v>14</v>
      </c>
      <c r="J84">
        <v>0</v>
      </c>
      <c r="K84">
        <v>0</v>
      </c>
      <c r="L84">
        <v>14</v>
      </c>
      <c r="M84">
        <v>0</v>
      </c>
      <c r="P84" t="s">
        <v>25</v>
      </c>
      <c r="Q84">
        <v>4</v>
      </c>
      <c r="R84">
        <v>10</v>
      </c>
      <c r="S84">
        <v>0</v>
      </c>
    </row>
    <row r="85" spans="1:19" ht="15.75" customHeight="1" x14ac:dyDescent="0.3">
      <c r="A85" t="str">
        <f>LEFT(B85,5)</f>
        <v>36106</v>
      </c>
      <c r="B85" t="s">
        <v>236</v>
      </c>
      <c r="C85" t="s">
        <v>237</v>
      </c>
      <c r="D85" t="s">
        <v>21</v>
      </c>
      <c r="E85" t="s">
        <v>22</v>
      </c>
      <c r="F85" t="s">
        <v>44</v>
      </c>
      <c r="G85" t="s">
        <v>238</v>
      </c>
      <c r="H85">
        <v>15</v>
      </c>
      <c r="I85">
        <v>23</v>
      </c>
      <c r="J85">
        <v>0</v>
      </c>
      <c r="K85">
        <v>15</v>
      </c>
      <c r="L85">
        <v>23</v>
      </c>
      <c r="M85">
        <v>0</v>
      </c>
      <c r="P85" t="s">
        <v>25</v>
      </c>
      <c r="Q85">
        <v>13</v>
      </c>
      <c r="R85">
        <v>25</v>
      </c>
      <c r="S85">
        <v>0</v>
      </c>
    </row>
    <row r="86" spans="1:19" ht="15.75" customHeight="1" x14ac:dyDescent="0.3">
      <c r="A86" t="str">
        <f>LEFT(B86,5)</f>
        <v>36106</v>
      </c>
      <c r="B86" t="s">
        <v>239</v>
      </c>
      <c r="C86" t="s">
        <v>237</v>
      </c>
      <c r="D86" t="s">
        <v>21</v>
      </c>
      <c r="E86" t="s">
        <v>22</v>
      </c>
      <c r="F86" t="s">
        <v>47</v>
      </c>
      <c r="G86" t="s">
        <v>238</v>
      </c>
      <c r="H86">
        <v>21</v>
      </c>
      <c r="I86">
        <v>24</v>
      </c>
      <c r="J86">
        <v>0</v>
      </c>
      <c r="K86">
        <v>25</v>
      </c>
      <c r="L86">
        <v>20</v>
      </c>
      <c r="M86">
        <v>0</v>
      </c>
      <c r="P86" t="s">
        <v>25</v>
      </c>
      <c r="Q86">
        <v>23</v>
      </c>
      <c r="R86">
        <v>22</v>
      </c>
      <c r="S86">
        <v>0</v>
      </c>
    </row>
    <row r="87" spans="1:19" ht="15.75" customHeight="1" x14ac:dyDescent="0.3">
      <c r="A87" t="str">
        <f>LEFT(B87,5)</f>
        <v>36106</v>
      </c>
      <c r="B87" t="s">
        <v>240</v>
      </c>
      <c r="C87" t="s">
        <v>237</v>
      </c>
      <c r="D87" t="s">
        <v>21</v>
      </c>
      <c r="E87" t="s">
        <v>22</v>
      </c>
      <c r="F87" t="s">
        <v>31</v>
      </c>
      <c r="G87" t="s">
        <v>238</v>
      </c>
      <c r="H87">
        <v>16</v>
      </c>
      <c r="I87">
        <v>29</v>
      </c>
      <c r="J87">
        <v>0</v>
      </c>
      <c r="K87">
        <v>16</v>
      </c>
      <c r="L87">
        <v>29</v>
      </c>
      <c r="M87">
        <v>0</v>
      </c>
      <c r="N87">
        <v>16</v>
      </c>
      <c r="O87">
        <v>29</v>
      </c>
      <c r="P87">
        <v>0</v>
      </c>
      <c r="Q87">
        <v>15</v>
      </c>
      <c r="R87">
        <v>30</v>
      </c>
      <c r="S87">
        <v>0</v>
      </c>
    </row>
    <row r="88" spans="1:19" s="1" customFormat="1" ht="15.75" customHeight="1" x14ac:dyDescent="0.3">
      <c r="A88" s="1" t="str">
        <f>LEFT(B88,5)</f>
        <v>36109</v>
      </c>
      <c r="B88" s="1" t="s">
        <v>241</v>
      </c>
      <c r="C88" s="1" t="s">
        <v>242</v>
      </c>
      <c r="D88" s="1" t="s">
        <v>21</v>
      </c>
      <c r="E88" s="1" t="s">
        <v>22</v>
      </c>
      <c r="F88" s="1" t="s">
        <v>100</v>
      </c>
      <c r="G88" s="1" t="s">
        <v>243</v>
      </c>
      <c r="H88" s="1">
        <v>15</v>
      </c>
      <c r="I88" s="1">
        <v>15</v>
      </c>
      <c r="J88" s="1">
        <v>0</v>
      </c>
      <c r="K88" s="1">
        <v>19</v>
      </c>
      <c r="L88" s="1">
        <v>11</v>
      </c>
      <c r="M88" s="1">
        <v>0</v>
      </c>
      <c r="N88" s="1">
        <v>19</v>
      </c>
      <c r="O88" s="1">
        <v>11</v>
      </c>
      <c r="P88" s="1">
        <v>0</v>
      </c>
      <c r="Q88" s="1">
        <v>21</v>
      </c>
      <c r="R88" s="1">
        <v>9</v>
      </c>
      <c r="S88" s="1">
        <v>0</v>
      </c>
    </row>
    <row r="89" spans="1:19" ht="15.75" customHeight="1" x14ac:dyDescent="0.3">
      <c r="A89" t="str">
        <f>LEFT(B89,5)</f>
        <v>36109</v>
      </c>
      <c r="B89" t="s">
        <v>244</v>
      </c>
      <c r="C89" t="s">
        <v>242</v>
      </c>
      <c r="D89" t="s">
        <v>21</v>
      </c>
      <c r="E89" t="s">
        <v>22</v>
      </c>
      <c r="F89" t="s">
        <v>245</v>
      </c>
      <c r="G89" t="s">
        <v>243</v>
      </c>
      <c r="H89">
        <v>15</v>
      </c>
      <c r="I89">
        <v>15</v>
      </c>
      <c r="J89">
        <v>0</v>
      </c>
      <c r="K89">
        <v>17</v>
      </c>
      <c r="L89">
        <v>13</v>
      </c>
      <c r="M89">
        <v>0</v>
      </c>
      <c r="N89">
        <v>17</v>
      </c>
      <c r="O89">
        <v>13</v>
      </c>
      <c r="P89">
        <v>0</v>
      </c>
      <c r="Q89">
        <v>18</v>
      </c>
      <c r="R89">
        <v>12</v>
      </c>
      <c r="S89">
        <v>0</v>
      </c>
    </row>
    <row r="90" spans="1:19" ht="15.75" customHeight="1" x14ac:dyDescent="0.3">
      <c r="A90" t="str">
        <f>LEFT(B90,5)</f>
        <v>36109</v>
      </c>
      <c r="B90" t="s">
        <v>246</v>
      </c>
      <c r="C90" t="s">
        <v>242</v>
      </c>
      <c r="D90" t="s">
        <v>21</v>
      </c>
      <c r="E90" t="s">
        <v>22</v>
      </c>
      <c r="F90" t="s">
        <v>105</v>
      </c>
      <c r="G90" t="s">
        <v>243</v>
      </c>
      <c r="H90">
        <v>13</v>
      </c>
      <c r="I90">
        <v>17</v>
      </c>
      <c r="J90">
        <v>0</v>
      </c>
      <c r="K90">
        <v>13</v>
      </c>
      <c r="L90">
        <v>17</v>
      </c>
      <c r="M90">
        <v>0</v>
      </c>
      <c r="N90">
        <v>13</v>
      </c>
      <c r="O90">
        <v>17</v>
      </c>
      <c r="P90">
        <v>0</v>
      </c>
      <c r="Q90">
        <v>13</v>
      </c>
      <c r="R90">
        <v>17</v>
      </c>
      <c r="S90">
        <v>0</v>
      </c>
    </row>
    <row r="91" spans="1:19" ht="15.75" customHeight="1" x14ac:dyDescent="0.3">
      <c r="A91" t="str">
        <f>LEFT(B91,5)</f>
        <v>36110</v>
      </c>
      <c r="B91" t="s">
        <v>247</v>
      </c>
      <c r="C91" t="s">
        <v>248</v>
      </c>
      <c r="D91" t="s">
        <v>21</v>
      </c>
      <c r="E91" t="s">
        <v>22</v>
      </c>
      <c r="F91" t="s">
        <v>39</v>
      </c>
      <c r="G91" t="s">
        <v>249</v>
      </c>
      <c r="H91">
        <v>23</v>
      </c>
      <c r="I91">
        <v>7</v>
      </c>
      <c r="J91">
        <v>0</v>
      </c>
      <c r="K91">
        <v>22</v>
      </c>
      <c r="L91">
        <v>8</v>
      </c>
      <c r="M91">
        <v>0</v>
      </c>
      <c r="N91">
        <v>22</v>
      </c>
      <c r="O91">
        <v>8</v>
      </c>
      <c r="P91">
        <v>0</v>
      </c>
      <c r="Q91">
        <v>18</v>
      </c>
      <c r="R91">
        <v>12</v>
      </c>
      <c r="S91">
        <v>0</v>
      </c>
    </row>
    <row r="92" spans="1:19" ht="15.75" customHeight="1" x14ac:dyDescent="0.3">
      <c r="A92" t="str">
        <f>LEFT(B92,5)</f>
        <v>36110</v>
      </c>
      <c r="B92" t="s">
        <v>250</v>
      </c>
      <c r="C92" t="s">
        <v>248</v>
      </c>
      <c r="D92" t="s">
        <v>21</v>
      </c>
      <c r="E92" t="s">
        <v>22</v>
      </c>
      <c r="F92" t="s">
        <v>23</v>
      </c>
      <c r="G92" t="s">
        <v>249</v>
      </c>
      <c r="H92">
        <v>11</v>
      </c>
      <c r="I92">
        <v>19</v>
      </c>
      <c r="J92">
        <v>0</v>
      </c>
      <c r="K92">
        <v>10</v>
      </c>
      <c r="L92">
        <v>20</v>
      </c>
      <c r="M92">
        <v>0</v>
      </c>
      <c r="P92" t="s">
        <v>25</v>
      </c>
      <c r="Q92">
        <v>21</v>
      </c>
      <c r="R92">
        <v>9</v>
      </c>
      <c r="S92">
        <v>0</v>
      </c>
    </row>
    <row r="93" spans="1:19" ht="15.75" customHeight="1" x14ac:dyDescent="0.3">
      <c r="A93" t="str">
        <f>LEFT(B93,5)</f>
        <v>36600</v>
      </c>
      <c r="B93" t="s">
        <v>251</v>
      </c>
      <c r="C93" t="s">
        <v>252</v>
      </c>
      <c r="D93" t="s">
        <v>21</v>
      </c>
      <c r="E93" t="s">
        <v>22</v>
      </c>
      <c r="F93" t="s">
        <v>253</v>
      </c>
      <c r="G93" t="s">
        <v>254</v>
      </c>
      <c r="H93">
        <v>2</v>
      </c>
      <c r="I93">
        <v>28</v>
      </c>
      <c r="J93">
        <v>0</v>
      </c>
      <c r="K93">
        <v>3</v>
      </c>
      <c r="L93">
        <v>27</v>
      </c>
      <c r="M93">
        <v>0</v>
      </c>
      <c r="P93" t="s">
        <v>25</v>
      </c>
      <c r="Q93">
        <v>3</v>
      </c>
      <c r="R93">
        <v>27</v>
      </c>
      <c r="S93">
        <v>0</v>
      </c>
    </row>
    <row r="94" spans="1:19" ht="15.75" customHeight="1" x14ac:dyDescent="0.3">
      <c r="A94" t="str">
        <f>LEFT(B94,5)</f>
        <v>36914</v>
      </c>
      <c r="B94" t="s">
        <v>255</v>
      </c>
      <c r="C94" t="s">
        <v>256</v>
      </c>
      <c r="D94" t="s">
        <v>21</v>
      </c>
      <c r="E94" t="s">
        <v>22</v>
      </c>
      <c r="F94" t="s">
        <v>257</v>
      </c>
      <c r="G94" t="s">
        <v>258</v>
      </c>
      <c r="H94">
        <v>5</v>
      </c>
      <c r="I94">
        <v>15</v>
      </c>
      <c r="J94">
        <v>0</v>
      </c>
      <c r="K94">
        <v>5</v>
      </c>
      <c r="L94">
        <v>15</v>
      </c>
      <c r="M94">
        <v>0</v>
      </c>
      <c r="P94" t="s">
        <v>25</v>
      </c>
      <c r="Q94">
        <v>5</v>
      </c>
      <c r="R94">
        <v>15</v>
      </c>
      <c r="S94">
        <v>0</v>
      </c>
    </row>
    <row r="95" spans="1:19" ht="15.75" customHeight="1" x14ac:dyDescent="0.3">
      <c r="A95" t="str">
        <f>LEFT(B95,5)</f>
        <v>37000</v>
      </c>
      <c r="B95" t="s">
        <v>259</v>
      </c>
      <c r="C95" t="s">
        <v>260</v>
      </c>
      <c r="D95" t="s">
        <v>21</v>
      </c>
      <c r="E95" t="s">
        <v>22</v>
      </c>
      <c r="F95" t="s">
        <v>73</v>
      </c>
      <c r="G95" t="s">
        <v>261</v>
      </c>
      <c r="H95">
        <v>26</v>
      </c>
      <c r="I95">
        <v>39</v>
      </c>
      <c r="J95">
        <v>0</v>
      </c>
      <c r="K95">
        <v>28</v>
      </c>
      <c r="L95">
        <v>37</v>
      </c>
      <c r="M95">
        <v>0</v>
      </c>
      <c r="P95" t="s">
        <v>25</v>
      </c>
      <c r="Q95">
        <v>30</v>
      </c>
      <c r="R95">
        <v>35</v>
      </c>
      <c r="S95">
        <v>0</v>
      </c>
    </row>
    <row r="96" spans="1:19" ht="15.75" customHeight="1" x14ac:dyDescent="0.3">
      <c r="A96" t="str">
        <f>LEFT(B96,5)</f>
        <v>37000</v>
      </c>
      <c r="B96" t="s">
        <v>262</v>
      </c>
      <c r="C96" t="s">
        <v>260</v>
      </c>
      <c r="D96" t="s">
        <v>21</v>
      </c>
      <c r="E96" t="s">
        <v>22</v>
      </c>
      <c r="F96" t="s">
        <v>73</v>
      </c>
      <c r="G96" t="s">
        <v>263</v>
      </c>
      <c r="H96">
        <v>11</v>
      </c>
      <c r="I96">
        <v>54</v>
      </c>
      <c r="J96">
        <v>0</v>
      </c>
      <c r="K96">
        <v>13</v>
      </c>
      <c r="L96">
        <v>52</v>
      </c>
      <c r="M96">
        <v>0</v>
      </c>
      <c r="P96" t="s">
        <v>25</v>
      </c>
      <c r="Q96">
        <v>14</v>
      </c>
      <c r="R96">
        <v>51</v>
      </c>
      <c r="S96">
        <v>0</v>
      </c>
    </row>
    <row r="97" spans="1:19" ht="15.75" customHeight="1" x14ac:dyDescent="0.3">
      <c r="A97" t="str">
        <f>LEFT(B97,5)</f>
        <v>37000</v>
      </c>
      <c r="B97" t="s">
        <v>264</v>
      </c>
      <c r="C97" t="s">
        <v>260</v>
      </c>
      <c r="D97" t="s">
        <v>21</v>
      </c>
      <c r="E97" t="s">
        <v>22</v>
      </c>
      <c r="F97" t="s">
        <v>245</v>
      </c>
      <c r="G97" t="s">
        <v>263</v>
      </c>
      <c r="H97">
        <v>54</v>
      </c>
      <c r="I97">
        <v>11</v>
      </c>
      <c r="J97">
        <v>0</v>
      </c>
      <c r="K97">
        <v>65</v>
      </c>
      <c r="L97" t="s">
        <v>37</v>
      </c>
      <c r="M97">
        <v>39</v>
      </c>
      <c r="P97" t="s">
        <v>25</v>
      </c>
      <c r="Q97">
        <v>63</v>
      </c>
      <c r="R97">
        <v>2</v>
      </c>
      <c r="S97">
        <v>0</v>
      </c>
    </row>
    <row r="98" spans="1:19" ht="15.75" customHeight="1" x14ac:dyDescent="0.3">
      <c r="A98" t="str">
        <f>LEFT(B98,5)</f>
        <v>37000</v>
      </c>
      <c r="B98" t="s">
        <v>265</v>
      </c>
      <c r="C98" t="s">
        <v>260</v>
      </c>
      <c r="D98" t="s">
        <v>21</v>
      </c>
      <c r="E98" t="s">
        <v>22</v>
      </c>
      <c r="F98" t="s">
        <v>245</v>
      </c>
      <c r="G98" t="s">
        <v>261</v>
      </c>
      <c r="H98">
        <v>29</v>
      </c>
      <c r="I98">
        <v>36</v>
      </c>
      <c r="J98">
        <v>0</v>
      </c>
      <c r="K98">
        <v>29</v>
      </c>
      <c r="L98">
        <v>36</v>
      </c>
      <c r="M98">
        <v>0</v>
      </c>
      <c r="P98" t="s">
        <v>25</v>
      </c>
      <c r="Q98">
        <v>27</v>
      </c>
      <c r="R98">
        <v>38</v>
      </c>
      <c r="S98">
        <v>0</v>
      </c>
    </row>
    <row r="99" spans="1:19" ht="15.75" customHeight="1" x14ac:dyDescent="0.3">
      <c r="A99" t="str">
        <f>LEFT(B99,5)</f>
        <v>37000</v>
      </c>
      <c r="B99" t="s">
        <v>266</v>
      </c>
      <c r="C99" t="s">
        <v>260</v>
      </c>
      <c r="D99" t="s">
        <v>21</v>
      </c>
      <c r="E99" t="s">
        <v>22</v>
      </c>
      <c r="F99" t="s">
        <v>105</v>
      </c>
      <c r="G99" t="s">
        <v>261</v>
      </c>
      <c r="H99">
        <v>18</v>
      </c>
      <c r="I99">
        <v>47</v>
      </c>
      <c r="J99">
        <v>0</v>
      </c>
      <c r="K99">
        <v>18</v>
      </c>
      <c r="L99">
        <v>47</v>
      </c>
      <c r="M99">
        <v>0</v>
      </c>
      <c r="N99">
        <v>19</v>
      </c>
      <c r="O99">
        <v>46</v>
      </c>
      <c r="P99">
        <v>0</v>
      </c>
      <c r="Q99">
        <v>18</v>
      </c>
      <c r="R99">
        <v>47</v>
      </c>
      <c r="S99">
        <v>0</v>
      </c>
    </row>
    <row r="100" spans="1:19" ht="15.75" customHeight="1" x14ac:dyDescent="0.3">
      <c r="A100" t="str">
        <f>LEFT(B100,5)</f>
        <v>37101</v>
      </c>
      <c r="B100" t="s">
        <v>267</v>
      </c>
      <c r="C100" t="s">
        <v>268</v>
      </c>
      <c r="D100" t="s">
        <v>21</v>
      </c>
      <c r="E100" t="s">
        <v>22</v>
      </c>
      <c r="F100" t="s">
        <v>245</v>
      </c>
      <c r="G100" t="s">
        <v>269</v>
      </c>
      <c r="H100">
        <v>65</v>
      </c>
      <c r="I100" t="s">
        <v>37</v>
      </c>
      <c r="J100">
        <v>1111</v>
      </c>
      <c r="K100">
        <v>65</v>
      </c>
      <c r="L100" t="s">
        <v>37</v>
      </c>
      <c r="M100">
        <v>4612</v>
      </c>
      <c r="P100" t="s">
        <v>25</v>
      </c>
      <c r="Q100">
        <v>65</v>
      </c>
      <c r="R100" t="s">
        <v>37</v>
      </c>
      <c r="S100">
        <v>4000</v>
      </c>
    </row>
    <row r="101" spans="1:19" ht="15.75" customHeight="1" x14ac:dyDescent="0.3">
      <c r="A101" t="str">
        <f>LEFT(B101,5)</f>
        <v>37101</v>
      </c>
      <c r="B101" t="s">
        <v>270</v>
      </c>
      <c r="C101" t="s">
        <v>268</v>
      </c>
      <c r="D101" t="s">
        <v>21</v>
      </c>
      <c r="E101" t="s">
        <v>22</v>
      </c>
      <c r="F101" t="s">
        <v>44</v>
      </c>
      <c r="G101" t="s">
        <v>269</v>
      </c>
      <c r="H101">
        <v>65</v>
      </c>
      <c r="I101" t="s">
        <v>37</v>
      </c>
      <c r="J101">
        <v>0</v>
      </c>
      <c r="K101">
        <v>65</v>
      </c>
      <c r="L101" t="s">
        <v>37</v>
      </c>
      <c r="M101">
        <v>723</v>
      </c>
      <c r="P101" t="s">
        <v>25</v>
      </c>
      <c r="Q101">
        <v>65</v>
      </c>
      <c r="R101" t="s">
        <v>37</v>
      </c>
      <c r="S101">
        <v>351</v>
      </c>
    </row>
    <row r="102" spans="1:19" ht="15.75" customHeight="1" x14ac:dyDescent="0.3">
      <c r="A102" t="str">
        <f>LEFT(B102,5)</f>
        <v>37101</v>
      </c>
      <c r="B102" t="s">
        <v>271</v>
      </c>
      <c r="C102" t="s">
        <v>268</v>
      </c>
      <c r="D102" t="s">
        <v>21</v>
      </c>
      <c r="E102" t="s">
        <v>22</v>
      </c>
      <c r="F102" t="s">
        <v>29</v>
      </c>
      <c r="G102" t="s">
        <v>269</v>
      </c>
      <c r="H102">
        <v>23</v>
      </c>
      <c r="I102">
        <v>42</v>
      </c>
      <c r="J102">
        <v>0</v>
      </c>
      <c r="K102">
        <v>25</v>
      </c>
      <c r="L102">
        <v>40</v>
      </c>
      <c r="M102">
        <v>0</v>
      </c>
      <c r="N102">
        <v>26</v>
      </c>
      <c r="O102">
        <v>39</v>
      </c>
      <c r="P102">
        <v>0</v>
      </c>
      <c r="Q102">
        <v>56</v>
      </c>
      <c r="R102">
        <v>9</v>
      </c>
      <c r="S102">
        <v>0</v>
      </c>
    </row>
    <row r="103" spans="1:19" ht="15.75" customHeight="1" x14ac:dyDescent="0.3">
      <c r="A103" t="str">
        <f>LEFT(B103,5)</f>
        <v>37103</v>
      </c>
      <c r="B103" t="s">
        <v>272</v>
      </c>
      <c r="C103" t="s">
        <v>273</v>
      </c>
      <c r="D103" t="s">
        <v>21</v>
      </c>
      <c r="E103" t="s">
        <v>22</v>
      </c>
      <c r="F103" t="s">
        <v>245</v>
      </c>
      <c r="G103" t="s">
        <v>274</v>
      </c>
      <c r="H103">
        <v>34</v>
      </c>
      <c r="I103">
        <v>31</v>
      </c>
      <c r="J103">
        <v>0</v>
      </c>
      <c r="K103">
        <v>44</v>
      </c>
      <c r="L103">
        <v>21</v>
      </c>
      <c r="M103">
        <v>0</v>
      </c>
      <c r="N103">
        <v>44</v>
      </c>
      <c r="O103">
        <v>21</v>
      </c>
      <c r="P103">
        <v>0</v>
      </c>
      <c r="Q103">
        <v>52</v>
      </c>
      <c r="R103">
        <v>13</v>
      </c>
      <c r="S103">
        <v>0</v>
      </c>
    </row>
    <row r="104" spans="1:19" ht="15.75" customHeight="1" x14ac:dyDescent="0.3">
      <c r="A104" t="str">
        <f>LEFT(B104,5)</f>
        <v>37202</v>
      </c>
      <c r="B104" t="s">
        <v>275</v>
      </c>
      <c r="C104" t="s">
        <v>276</v>
      </c>
      <c r="D104" t="s">
        <v>21</v>
      </c>
      <c r="E104" t="s">
        <v>22</v>
      </c>
      <c r="F104" t="s">
        <v>35</v>
      </c>
      <c r="G104" t="s">
        <v>277</v>
      </c>
      <c r="H104">
        <v>32</v>
      </c>
      <c r="I104">
        <v>33</v>
      </c>
      <c r="J104">
        <v>0</v>
      </c>
      <c r="K104">
        <v>37</v>
      </c>
      <c r="L104">
        <v>28</v>
      </c>
      <c r="M104">
        <v>0</v>
      </c>
      <c r="N104">
        <v>37</v>
      </c>
      <c r="O104">
        <v>28</v>
      </c>
      <c r="P104">
        <v>0</v>
      </c>
      <c r="Q104">
        <v>40</v>
      </c>
      <c r="R104">
        <v>25</v>
      </c>
      <c r="S104">
        <v>0</v>
      </c>
    </row>
    <row r="105" spans="1:19" ht="15.75" customHeight="1" x14ac:dyDescent="0.3">
      <c r="A105" t="str">
        <f>LEFT(B105,5)</f>
        <v>37202</v>
      </c>
      <c r="B105" t="s">
        <v>278</v>
      </c>
      <c r="C105" t="s">
        <v>276</v>
      </c>
      <c r="D105" t="s">
        <v>21</v>
      </c>
      <c r="E105" t="s">
        <v>22</v>
      </c>
      <c r="F105" t="s">
        <v>39</v>
      </c>
      <c r="G105" t="s">
        <v>277</v>
      </c>
      <c r="H105">
        <v>46</v>
      </c>
      <c r="I105">
        <v>19</v>
      </c>
      <c r="J105">
        <v>0</v>
      </c>
      <c r="K105">
        <v>65</v>
      </c>
      <c r="L105" t="s">
        <v>37</v>
      </c>
      <c r="M105">
        <v>1</v>
      </c>
      <c r="N105">
        <v>65</v>
      </c>
      <c r="O105" t="s">
        <v>37</v>
      </c>
      <c r="P105">
        <v>0</v>
      </c>
      <c r="Q105">
        <v>65</v>
      </c>
      <c r="R105" t="s">
        <v>37</v>
      </c>
      <c r="S105">
        <v>471</v>
      </c>
    </row>
    <row r="106" spans="1:19" ht="15.75" customHeight="1" x14ac:dyDescent="0.3">
      <c r="A106" t="str">
        <f>LEFT(B106,5)</f>
        <v>37209</v>
      </c>
      <c r="B106" t="s">
        <v>279</v>
      </c>
      <c r="C106" t="s">
        <v>280</v>
      </c>
      <c r="D106" t="s">
        <v>21</v>
      </c>
      <c r="E106" t="s">
        <v>22</v>
      </c>
      <c r="F106" t="s">
        <v>83</v>
      </c>
      <c r="G106" t="s">
        <v>281</v>
      </c>
      <c r="H106">
        <v>27</v>
      </c>
      <c r="I106">
        <v>38</v>
      </c>
      <c r="J106">
        <v>0</v>
      </c>
      <c r="K106">
        <v>32</v>
      </c>
      <c r="L106">
        <v>33</v>
      </c>
      <c r="M106">
        <v>0</v>
      </c>
      <c r="P106" t="s">
        <v>25</v>
      </c>
      <c r="Q106">
        <v>44</v>
      </c>
      <c r="R106">
        <v>21</v>
      </c>
      <c r="S106">
        <v>0</v>
      </c>
    </row>
    <row r="107" spans="1:19" ht="15.75" customHeight="1" x14ac:dyDescent="0.3">
      <c r="A107" t="str">
        <f>LEFT(B107,5)</f>
        <v>37212</v>
      </c>
      <c r="B107" t="s">
        <v>282</v>
      </c>
      <c r="C107" t="s">
        <v>283</v>
      </c>
      <c r="D107" t="s">
        <v>21</v>
      </c>
      <c r="E107" t="s">
        <v>22</v>
      </c>
      <c r="F107" t="s">
        <v>39</v>
      </c>
      <c r="G107" t="s">
        <v>284</v>
      </c>
      <c r="H107">
        <v>31</v>
      </c>
      <c r="I107">
        <v>34</v>
      </c>
      <c r="J107">
        <v>0</v>
      </c>
      <c r="K107">
        <v>42</v>
      </c>
      <c r="L107">
        <v>23</v>
      </c>
      <c r="M107">
        <v>0</v>
      </c>
      <c r="N107">
        <v>42</v>
      </c>
      <c r="O107">
        <v>23</v>
      </c>
      <c r="P107">
        <v>0</v>
      </c>
      <c r="Q107">
        <v>42</v>
      </c>
      <c r="R107">
        <v>23</v>
      </c>
      <c r="S107">
        <v>0</v>
      </c>
    </row>
    <row r="108" spans="1:19" ht="15.75" customHeight="1" x14ac:dyDescent="0.3">
      <c r="A108" t="str">
        <f>LEFT(B108,5)</f>
        <v>37212</v>
      </c>
      <c r="B108" t="s">
        <v>285</v>
      </c>
      <c r="C108" t="s">
        <v>283</v>
      </c>
      <c r="D108" t="s">
        <v>21</v>
      </c>
      <c r="E108" t="s">
        <v>22</v>
      </c>
      <c r="F108" t="s">
        <v>80</v>
      </c>
      <c r="G108" t="s">
        <v>284</v>
      </c>
      <c r="H108">
        <v>20</v>
      </c>
      <c r="I108">
        <v>45</v>
      </c>
      <c r="J108">
        <v>0</v>
      </c>
      <c r="K108">
        <v>22</v>
      </c>
      <c r="L108">
        <v>43</v>
      </c>
      <c r="M108">
        <v>0</v>
      </c>
      <c r="N108">
        <v>24</v>
      </c>
      <c r="O108">
        <v>41</v>
      </c>
      <c r="P108">
        <v>0</v>
      </c>
      <c r="Q108">
        <v>27</v>
      </c>
      <c r="R108">
        <v>38</v>
      </c>
      <c r="S108">
        <v>0</v>
      </c>
    </row>
    <row r="109" spans="1:19" ht="15.75" customHeight="1" x14ac:dyDescent="0.3">
      <c r="A109" t="str">
        <f>LEFT(B109,5)</f>
        <v>37601</v>
      </c>
      <c r="B109" t="s">
        <v>286</v>
      </c>
      <c r="C109" t="s">
        <v>287</v>
      </c>
      <c r="D109" t="s">
        <v>21</v>
      </c>
      <c r="E109" t="s">
        <v>22</v>
      </c>
      <c r="F109" t="s">
        <v>288</v>
      </c>
      <c r="G109" t="s">
        <v>289</v>
      </c>
      <c r="H109">
        <v>3</v>
      </c>
      <c r="I109">
        <v>27</v>
      </c>
      <c r="J109">
        <v>0</v>
      </c>
      <c r="K109">
        <v>3</v>
      </c>
      <c r="L109">
        <v>27</v>
      </c>
      <c r="M109">
        <v>0</v>
      </c>
      <c r="P109" t="s">
        <v>25</v>
      </c>
      <c r="Q109">
        <v>3</v>
      </c>
      <c r="R109">
        <v>27</v>
      </c>
      <c r="S109">
        <v>0</v>
      </c>
    </row>
    <row r="110" spans="1:19" ht="15.75" customHeight="1" x14ac:dyDescent="0.3">
      <c r="A110" t="str">
        <f>LEFT(B110,5)</f>
        <v>37902</v>
      </c>
      <c r="B110" t="s">
        <v>290</v>
      </c>
      <c r="C110" t="s">
        <v>291</v>
      </c>
      <c r="D110" t="s">
        <v>21</v>
      </c>
      <c r="E110" t="s">
        <v>22</v>
      </c>
      <c r="F110" t="s">
        <v>292</v>
      </c>
      <c r="G110" t="s">
        <v>293</v>
      </c>
      <c r="H110">
        <v>1</v>
      </c>
      <c r="I110">
        <v>11</v>
      </c>
      <c r="J110">
        <v>0</v>
      </c>
      <c r="K110">
        <v>2</v>
      </c>
      <c r="L110">
        <v>10</v>
      </c>
      <c r="M110">
        <v>0</v>
      </c>
      <c r="P110" t="s">
        <v>25</v>
      </c>
      <c r="Q110">
        <v>3</v>
      </c>
      <c r="R110">
        <v>9</v>
      </c>
      <c r="S110">
        <v>0</v>
      </c>
    </row>
    <row r="111" spans="1:19" ht="15.75" customHeight="1" x14ac:dyDescent="0.3">
      <c r="A111" t="str">
        <f>LEFT(B111,5)</f>
        <v>37904</v>
      </c>
      <c r="B111" t="s">
        <v>294</v>
      </c>
      <c r="C111" t="s">
        <v>295</v>
      </c>
      <c r="D111" t="s">
        <v>21</v>
      </c>
      <c r="E111" t="s">
        <v>22</v>
      </c>
      <c r="F111" t="s">
        <v>39</v>
      </c>
      <c r="G111" t="s">
        <v>296</v>
      </c>
      <c r="H111">
        <v>3</v>
      </c>
      <c r="I111">
        <v>32</v>
      </c>
      <c r="J111">
        <v>0</v>
      </c>
      <c r="K111">
        <v>4</v>
      </c>
      <c r="L111">
        <v>31</v>
      </c>
      <c r="M111">
        <v>0</v>
      </c>
      <c r="P111" t="s">
        <v>25</v>
      </c>
      <c r="Q111">
        <v>4</v>
      </c>
      <c r="R111">
        <v>31</v>
      </c>
      <c r="S111">
        <v>0</v>
      </c>
    </row>
    <row r="112" spans="1:19" ht="15.75" customHeight="1" x14ac:dyDescent="0.3">
      <c r="A112" t="str">
        <f>LEFT(B112,5)</f>
        <v>37905</v>
      </c>
      <c r="B112" t="s">
        <v>297</v>
      </c>
      <c r="C112" t="s">
        <v>298</v>
      </c>
      <c r="D112" t="s">
        <v>21</v>
      </c>
      <c r="E112" t="s">
        <v>22</v>
      </c>
      <c r="F112" t="s">
        <v>35</v>
      </c>
      <c r="G112" t="s">
        <v>299</v>
      </c>
      <c r="H112">
        <v>8</v>
      </c>
      <c r="I112">
        <v>12</v>
      </c>
      <c r="J112">
        <v>0</v>
      </c>
      <c r="K112">
        <v>10</v>
      </c>
      <c r="L112">
        <v>10</v>
      </c>
      <c r="M112">
        <v>0</v>
      </c>
      <c r="P112" t="s">
        <v>25</v>
      </c>
      <c r="Q112">
        <v>13</v>
      </c>
      <c r="R112">
        <v>7</v>
      </c>
      <c r="S112">
        <v>0</v>
      </c>
    </row>
    <row r="113" spans="1:19" ht="15.75" customHeight="1" x14ac:dyDescent="0.3">
      <c r="A113" t="str">
        <f>LEFT(B113,5)</f>
        <v>37907</v>
      </c>
      <c r="B113" t="s">
        <v>300</v>
      </c>
      <c r="C113" t="s">
        <v>301</v>
      </c>
      <c r="D113" t="s">
        <v>21</v>
      </c>
      <c r="E113" t="s">
        <v>22</v>
      </c>
      <c r="F113" t="s">
        <v>302</v>
      </c>
      <c r="G113" t="s">
        <v>303</v>
      </c>
      <c r="H113">
        <v>3</v>
      </c>
      <c r="I113">
        <v>17</v>
      </c>
      <c r="J113">
        <v>0</v>
      </c>
      <c r="K113">
        <v>3</v>
      </c>
      <c r="L113">
        <v>17</v>
      </c>
      <c r="M113">
        <v>0</v>
      </c>
      <c r="P113" t="s">
        <v>25</v>
      </c>
      <c r="Q113">
        <v>3</v>
      </c>
      <c r="R113">
        <v>17</v>
      </c>
      <c r="S113">
        <v>0</v>
      </c>
    </row>
    <row r="114" spans="1:19" ht="15.75" customHeight="1" x14ac:dyDescent="0.3">
      <c r="A114" t="str">
        <f>LEFT(B114,5)</f>
        <v>38001</v>
      </c>
      <c r="B114" t="s">
        <v>304</v>
      </c>
      <c r="C114" t="s">
        <v>305</v>
      </c>
      <c r="D114" t="s">
        <v>21</v>
      </c>
      <c r="E114" t="s">
        <v>22</v>
      </c>
      <c r="F114" t="s">
        <v>23</v>
      </c>
      <c r="G114" t="s">
        <v>306</v>
      </c>
      <c r="H114">
        <v>48</v>
      </c>
      <c r="I114">
        <v>17</v>
      </c>
      <c r="J114">
        <v>0</v>
      </c>
      <c r="K114">
        <v>61</v>
      </c>
      <c r="L114">
        <v>4</v>
      </c>
      <c r="M114">
        <v>0</v>
      </c>
      <c r="P114" t="s">
        <v>25</v>
      </c>
      <c r="Q114">
        <v>60</v>
      </c>
      <c r="R114">
        <v>5</v>
      </c>
      <c r="S114">
        <v>0</v>
      </c>
    </row>
    <row r="115" spans="1:19" ht="15.75" customHeight="1" x14ac:dyDescent="0.3">
      <c r="A115" t="str">
        <f>LEFT(B115,5)</f>
        <v>38001</v>
      </c>
      <c r="B115" t="s">
        <v>307</v>
      </c>
      <c r="C115" t="s">
        <v>305</v>
      </c>
      <c r="D115" t="s">
        <v>21</v>
      </c>
      <c r="E115" t="s">
        <v>22</v>
      </c>
      <c r="F115" t="s">
        <v>100</v>
      </c>
      <c r="G115" t="s">
        <v>306</v>
      </c>
      <c r="H115">
        <v>65</v>
      </c>
      <c r="I115" t="s">
        <v>37</v>
      </c>
      <c r="J115">
        <v>4</v>
      </c>
      <c r="K115">
        <v>65</v>
      </c>
      <c r="L115" t="s">
        <v>37</v>
      </c>
      <c r="M115">
        <v>211</v>
      </c>
      <c r="P115" t="s">
        <v>25</v>
      </c>
      <c r="Q115">
        <v>65</v>
      </c>
      <c r="R115" t="s">
        <v>37</v>
      </c>
      <c r="S115">
        <v>18</v>
      </c>
    </row>
    <row r="116" spans="1:19" ht="15.75" customHeight="1" x14ac:dyDescent="0.3">
      <c r="A116" t="str">
        <f>LEFT(B116,5)</f>
        <v>38002</v>
      </c>
      <c r="B116" t="s">
        <v>308</v>
      </c>
      <c r="C116" t="s">
        <v>309</v>
      </c>
      <c r="D116" t="s">
        <v>21</v>
      </c>
      <c r="E116" t="s">
        <v>22</v>
      </c>
      <c r="F116" t="s">
        <v>310</v>
      </c>
      <c r="G116" t="s">
        <v>311</v>
      </c>
      <c r="H116">
        <v>31</v>
      </c>
      <c r="I116">
        <v>34</v>
      </c>
      <c r="J116">
        <v>0</v>
      </c>
      <c r="K116">
        <v>42</v>
      </c>
      <c r="L116">
        <v>23</v>
      </c>
      <c r="M116">
        <v>0</v>
      </c>
      <c r="P116" t="s">
        <v>25</v>
      </c>
      <c r="Q116">
        <v>44</v>
      </c>
      <c r="R116">
        <v>21</v>
      </c>
      <c r="S116">
        <v>0</v>
      </c>
    </row>
    <row r="117" spans="1:19" ht="15.75" customHeight="1" x14ac:dyDescent="0.3">
      <c r="A117" t="str">
        <f>LEFT(B117,5)</f>
        <v>38002</v>
      </c>
      <c r="B117" t="s">
        <v>312</v>
      </c>
      <c r="C117" t="s">
        <v>309</v>
      </c>
      <c r="D117" t="s">
        <v>21</v>
      </c>
      <c r="E117" t="s">
        <v>22</v>
      </c>
      <c r="F117" t="s">
        <v>41</v>
      </c>
      <c r="G117" t="s">
        <v>311</v>
      </c>
      <c r="H117">
        <v>17</v>
      </c>
      <c r="I117">
        <v>48</v>
      </c>
      <c r="J117">
        <v>0</v>
      </c>
      <c r="K117">
        <v>18</v>
      </c>
      <c r="L117">
        <v>47</v>
      </c>
      <c r="M117">
        <v>0</v>
      </c>
      <c r="N117">
        <v>21</v>
      </c>
      <c r="O117">
        <v>44</v>
      </c>
      <c r="P117">
        <v>0</v>
      </c>
      <c r="Q117">
        <v>22</v>
      </c>
      <c r="R117">
        <v>43</v>
      </c>
      <c r="S117">
        <v>0</v>
      </c>
    </row>
    <row r="118" spans="1:19" ht="15.75" customHeight="1" x14ac:dyDescent="0.3">
      <c r="A118" t="str">
        <f>LEFT(B118,5)</f>
        <v>38103</v>
      </c>
      <c r="B118" t="s">
        <v>313</v>
      </c>
      <c r="C118" t="s">
        <v>314</v>
      </c>
      <c r="D118" t="s">
        <v>21</v>
      </c>
      <c r="E118" t="s">
        <v>22</v>
      </c>
      <c r="F118" t="s">
        <v>245</v>
      </c>
      <c r="G118" t="s">
        <v>315</v>
      </c>
      <c r="H118">
        <v>44</v>
      </c>
      <c r="I118">
        <v>11</v>
      </c>
      <c r="J118">
        <v>0</v>
      </c>
      <c r="K118">
        <v>55</v>
      </c>
      <c r="L118" t="s">
        <v>37</v>
      </c>
      <c r="M118">
        <v>4002</v>
      </c>
      <c r="P118" t="s">
        <v>25</v>
      </c>
      <c r="Q118">
        <v>55</v>
      </c>
      <c r="R118" t="s">
        <v>37</v>
      </c>
      <c r="S118">
        <v>17036</v>
      </c>
    </row>
    <row r="119" spans="1:19" ht="15.75" customHeight="1" x14ac:dyDescent="0.3">
      <c r="A119" t="str">
        <f>LEFT(B119,5)</f>
        <v>38103</v>
      </c>
      <c r="B119" t="s">
        <v>316</v>
      </c>
      <c r="C119" t="s">
        <v>314</v>
      </c>
      <c r="D119" t="s">
        <v>21</v>
      </c>
      <c r="E119" t="s">
        <v>22</v>
      </c>
      <c r="F119" t="s">
        <v>39</v>
      </c>
      <c r="G119" t="s">
        <v>317</v>
      </c>
      <c r="H119">
        <v>45</v>
      </c>
      <c r="I119">
        <v>10</v>
      </c>
      <c r="J119">
        <v>0</v>
      </c>
      <c r="K119">
        <v>55</v>
      </c>
      <c r="L119" t="s">
        <v>37</v>
      </c>
      <c r="M119">
        <v>0</v>
      </c>
      <c r="P119" t="s">
        <v>25</v>
      </c>
      <c r="Q119">
        <v>55</v>
      </c>
      <c r="R119" t="s">
        <v>37</v>
      </c>
      <c r="S119">
        <v>1</v>
      </c>
    </row>
    <row r="120" spans="1:19" ht="15.75" customHeight="1" x14ac:dyDescent="0.3">
      <c r="A120" t="str">
        <f>LEFT(B120,5)</f>
        <v>38103</v>
      </c>
      <c r="B120" t="s">
        <v>318</v>
      </c>
      <c r="C120" t="s">
        <v>314</v>
      </c>
      <c r="D120" t="s">
        <v>21</v>
      </c>
      <c r="E120" t="s">
        <v>22</v>
      </c>
      <c r="F120" t="s">
        <v>73</v>
      </c>
      <c r="G120" t="s">
        <v>319</v>
      </c>
      <c r="H120">
        <v>55</v>
      </c>
      <c r="I120" t="s">
        <v>37</v>
      </c>
      <c r="J120">
        <v>1012</v>
      </c>
      <c r="K120">
        <v>55</v>
      </c>
      <c r="L120" t="s">
        <v>37</v>
      </c>
      <c r="M120">
        <v>3527</v>
      </c>
      <c r="P120" t="s">
        <v>25</v>
      </c>
      <c r="Q120">
        <v>55</v>
      </c>
      <c r="R120" t="s">
        <v>37</v>
      </c>
      <c r="S120">
        <v>5001</v>
      </c>
    </row>
    <row r="121" spans="1:19" ht="15.75" customHeight="1" x14ac:dyDescent="0.3">
      <c r="A121" t="str">
        <f>LEFT(B121,5)</f>
        <v>38103</v>
      </c>
      <c r="B121" t="s">
        <v>320</v>
      </c>
      <c r="C121" t="s">
        <v>314</v>
      </c>
      <c r="D121" t="s">
        <v>21</v>
      </c>
      <c r="E121" t="s">
        <v>22</v>
      </c>
      <c r="F121" t="s">
        <v>44</v>
      </c>
      <c r="G121" t="s">
        <v>319</v>
      </c>
      <c r="H121">
        <v>45</v>
      </c>
      <c r="I121">
        <v>10</v>
      </c>
      <c r="J121">
        <v>0</v>
      </c>
      <c r="K121">
        <v>55</v>
      </c>
      <c r="L121" t="s">
        <v>37</v>
      </c>
      <c r="M121">
        <v>1012</v>
      </c>
      <c r="P121" t="s">
        <v>25</v>
      </c>
      <c r="Q121">
        <v>55</v>
      </c>
      <c r="R121" t="s">
        <v>37</v>
      </c>
      <c r="S121">
        <v>3135</v>
      </c>
    </row>
    <row r="122" spans="1:19" ht="15.75" customHeight="1" x14ac:dyDescent="0.3">
      <c r="A122" t="str">
        <f>LEFT(B122,5)</f>
        <v>38103</v>
      </c>
      <c r="B122" t="s">
        <v>321</v>
      </c>
      <c r="C122" t="s">
        <v>314</v>
      </c>
      <c r="D122" t="s">
        <v>21</v>
      </c>
      <c r="E122" t="s">
        <v>22</v>
      </c>
      <c r="F122" t="s">
        <v>47</v>
      </c>
      <c r="G122" t="s">
        <v>315</v>
      </c>
      <c r="H122">
        <v>35</v>
      </c>
      <c r="I122">
        <v>20</v>
      </c>
      <c r="J122">
        <v>0</v>
      </c>
      <c r="K122">
        <v>37</v>
      </c>
      <c r="L122">
        <v>18</v>
      </c>
      <c r="M122">
        <v>0</v>
      </c>
      <c r="P122" t="s">
        <v>25</v>
      </c>
      <c r="Q122">
        <v>48</v>
      </c>
      <c r="R122">
        <v>7</v>
      </c>
      <c r="S122">
        <v>0</v>
      </c>
    </row>
    <row r="123" spans="1:19" ht="15.75" customHeight="1" x14ac:dyDescent="0.3">
      <c r="A123" t="str">
        <f>LEFT(B123,5)</f>
        <v>38103</v>
      </c>
      <c r="B123" t="s">
        <v>322</v>
      </c>
      <c r="C123" t="s">
        <v>314</v>
      </c>
      <c r="D123" t="s">
        <v>21</v>
      </c>
      <c r="E123" t="s">
        <v>22</v>
      </c>
      <c r="F123" t="s">
        <v>105</v>
      </c>
      <c r="G123" t="s">
        <v>315</v>
      </c>
      <c r="H123">
        <v>32</v>
      </c>
      <c r="I123">
        <v>23</v>
      </c>
      <c r="J123">
        <v>0</v>
      </c>
      <c r="K123">
        <v>30</v>
      </c>
      <c r="L123">
        <v>25</v>
      </c>
      <c r="M123">
        <v>0</v>
      </c>
      <c r="N123">
        <v>30</v>
      </c>
      <c r="O123">
        <v>25</v>
      </c>
      <c r="P123">
        <v>0</v>
      </c>
      <c r="Q123">
        <v>34</v>
      </c>
      <c r="R123">
        <v>21</v>
      </c>
      <c r="S123">
        <v>0</v>
      </c>
    </row>
    <row r="124" spans="1:19" ht="15.75" customHeight="1" x14ac:dyDescent="0.3">
      <c r="A124" t="str">
        <f>LEFT(B124,5)</f>
        <v>38107</v>
      </c>
      <c r="B124" t="s">
        <v>323</v>
      </c>
      <c r="C124" t="s">
        <v>324</v>
      </c>
      <c r="D124" t="s">
        <v>21</v>
      </c>
      <c r="E124" t="s">
        <v>22</v>
      </c>
      <c r="F124" t="s">
        <v>52</v>
      </c>
      <c r="G124" t="s">
        <v>325</v>
      </c>
      <c r="H124">
        <v>27</v>
      </c>
      <c r="I124">
        <v>9</v>
      </c>
      <c r="J124">
        <v>0</v>
      </c>
      <c r="K124">
        <v>28</v>
      </c>
      <c r="L124">
        <v>8</v>
      </c>
      <c r="M124">
        <v>0</v>
      </c>
      <c r="N124">
        <v>28</v>
      </c>
      <c r="O124">
        <v>8</v>
      </c>
      <c r="P124">
        <v>0</v>
      </c>
      <c r="Q124">
        <v>36</v>
      </c>
      <c r="R124" t="s">
        <v>37</v>
      </c>
      <c r="S124">
        <v>1285</v>
      </c>
    </row>
    <row r="125" spans="1:19" ht="15.75" customHeight="1" x14ac:dyDescent="0.3">
      <c r="A125" t="str">
        <f>LEFT(B125,5)</f>
        <v>38115</v>
      </c>
      <c r="B125" t="s">
        <v>326</v>
      </c>
      <c r="C125" t="s">
        <v>327</v>
      </c>
      <c r="D125" t="s">
        <v>21</v>
      </c>
      <c r="E125" t="s">
        <v>22</v>
      </c>
      <c r="F125" t="s">
        <v>31</v>
      </c>
      <c r="G125" t="s">
        <v>328</v>
      </c>
      <c r="H125">
        <v>46</v>
      </c>
      <c r="I125">
        <v>19</v>
      </c>
      <c r="J125">
        <v>0</v>
      </c>
      <c r="K125">
        <v>49</v>
      </c>
      <c r="L125">
        <v>16</v>
      </c>
      <c r="M125">
        <v>0</v>
      </c>
      <c r="N125">
        <v>53</v>
      </c>
      <c r="O125">
        <v>12</v>
      </c>
      <c r="P125">
        <v>0</v>
      </c>
      <c r="Q125">
        <v>56</v>
      </c>
      <c r="R125">
        <v>9</v>
      </c>
      <c r="S125">
        <v>0</v>
      </c>
    </row>
    <row r="126" spans="1:19" ht="15.75" customHeight="1" x14ac:dyDescent="0.3">
      <c r="A126" t="str">
        <f>LEFT(B126,5)</f>
        <v>38119</v>
      </c>
      <c r="B126" t="s">
        <v>329</v>
      </c>
      <c r="C126" t="s">
        <v>330</v>
      </c>
      <c r="D126" t="s">
        <v>21</v>
      </c>
      <c r="E126" t="s">
        <v>22</v>
      </c>
      <c r="F126" t="s">
        <v>245</v>
      </c>
      <c r="G126" t="s">
        <v>331</v>
      </c>
      <c r="H126">
        <v>65</v>
      </c>
      <c r="I126" t="s">
        <v>37</v>
      </c>
      <c r="J126">
        <v>8592</v>
      </c>
      <c r="K126">
        <v>65</v>
      </c>
      <c r="L126" t="s">
        <v>37</v>
      </c>
      <c r="M126">
        <v>11494</v>
      </c>
      <c r="N126">
        <v>65</v>
      </c>
      <c r="O126" t="s">
        <v>37</v>
      </c>
      <c r="P126">
        <v>0</v>
      </c>
      <c r="Q126">
        <v>65</v>
      </c>
      <c r="R126" t="s">
        <v>37</v>
      </c>
      <c r="S126">
        <v>0</v>
      </c>
    </row>
    <row r="127" spans="1:19" ht="15.75" customHeight="1" x14ac:dyDescent="0.3">
      <c r="A127" t="str">
        <f>LEFT(B127,5)</f>
        <v>38119</v>
      </c>
      <c r="B127" t="s">
        <v>332</v>
      </c>
      <c r="C127" t="s">
        <v>330</v>
      </c>
      <c r="D127" t="s">
        <v>21</v>
      </c>
      <c r="E127" t="s">
        <v>22</v>
      </c>
      <c r="F127" t="s">
        <v>29</v>
      </c>
      <c r="G127" t="s">
        <v>331</v>
      </c>
      <c r="H127">
        <v>65</v>
      </c>
      <c r="I127" t="s">
        <v>37</v>
      </c>
      <c r="J127">
        <v>2158</v>
      </c>
      <c r="K127">
        <v>65</v>
      </c>
      <c r="L127" t="s">
        <v>37</v>
      </c>
      <c r="M127">
        <v>2000</v>
      </c>
      <c r="N127">
        <v>65</v>
      </c>
      <c r="O127" t="s">
        <v>37</v>
      </c>
      <c r="P127">
        <v>0</v>
      </c>
      <c r="Q127">
        <v>65</v>
      </c>
      <c r="R127" t="s">
        <v>37</v>
      </c>
      <c r="S127">
        <v>15201</v>
      </c>
    </row>
    <row r="128" spans="1:19" ht="15.75" customHeight="1" x14ac:dyDescent="0.3">
      <c r="A128" t="str">
        <f>LEFT(B128,5)</f>
        <v>38119</v>
      </c>
      <c r="B128" t="s">
        <v>333</v>
      </c>
      <c r="C128" t="s">
        <v>330</v>
      </c>
      <c r="D128" t="s">
        <v>21</v>
      </c>
      <c r="E128" t="s">
        <v>22</v>
      </c>
      <c r="F128" t="s">
        <v>44</v>
      </c>
      <c r="G128" t="s">
        <v>331</v>
      </c>
      <c r="H128">
        <v>65</v>
      </c>
      <c r="I128" t="s">
        <v>37</v>
      </c>
      <c r="J128">
        <v>500</v>
      </c>
      <c r="K128">
        <v>65</v>
      </c>
      <c r="L128" t="s">
        <v>37</v>
      </c>
      <c r="M128">
        <v>8118</v>
      </c>
      <c r="N128">
        <v>65</v>
      </c>
      <c r="O128" t="s">
        <v>37</v>
      </c>
      <c r="P128">
        <v>0</v>
      </c>
      <c r="Q128">
        <v>65</v>
      </c>
      <c r="R128" t="s">
        <v>37</v>
      </c>
      <c r="S128">
        <v>10297</v>
      </c>
    </row>
    <row r="129" spans="1:19" ht="15.75" customHeight="1" x14ac:dyDescent="0.3">
      <c r="A129" t="str">
        <f>LEFT(B129,5)</f>
        <v>38120</v>
      </c>
      <c r="B129" t="s">
        <v>334</v>
      </c>
      <c r="C129" t="s">
        <v>335</v>
      </c>
      <c r="D129" t="s">
        <v>21</v>
      </c>
      <c r="E129" t="s">
        <v>22</v>
      </c>
      <c r="F129" t="s">
        <v>23</v>
      </c>
      <c r="G129" t="s">
        <v>336</v>
      </c>
      <c r="H129">
        <v>70</v>
      </c>
      <c r="I129" t="s">
        <v>37</v>
      </c>
      <c r="J129">
        <v>11246</v>
      </c>
      <c r="K129">
        <v>70</v>
      </c>
      <c r="L129" t="s">
        <v>37</v>
      </c>
      <c r="M129">
        <v>21297</v>
      </c>
      <c r="P129" t="s">
        <v>25</v>
      </c>
      <c r="Q129">
        <v>70</v>
      </c>
      <c r="R129" t="s">
        <v>37</v>
      </c>
      <c r="S129">
        <v>0</v>
      </c>
    </row>
    <row r="130" spans="1:19" ht="15.75" customHeight="1" x14ac:dyDescent="0.3">
      <c r="A130" t="str">
        <f>LEFT(B130,5)</f>
        <v>38120</v>
      </c>
      <c r="B130" t="s">
        <v>337</v>
      </c>
      <c r="C130" t="s">
        <v>335</v>
      </c>
      <c r="D130" t="s">
        <v>21</v>
      </c>
      <c r="E130" t="s">
        <v>22</v>
      </c>
      <c r="F130" t="s">
        <v>245</v>
      </c>
      <c r="G130" t="s">
        <v>336</v>
      </c>
      <c r="H130">
        <v>70</v>
      </c>
      <c r="I130" t="s">
        <v>37</v>
      </c>
      <c r="J130">
        <v>10267</v>
      </c>
      <c r="K130">
        <v>70</v>
      </c>
      <c r="L130" t="s">
        <v>37</v>
      </c>
      <c r="M130">
        <v>0</v>
      </c>
      <c r="P130" t="s">
        <v>25</v>
      </c>
      <c r="Q130">
        <v>70</v>
      </c>
      <c r="R130" t="s">
        <v>37</v>
      </c>
      <c r="S130">
        <v>0</v>
      </c>
    </row>
    <row r="131" spans="1:19" ht="15.75" customHeight="1" x14ac:dyDescent="0.3">
      <c r="A131" t="str">
        <f>LEFT(B131,5)</f>
        <v>38120</v>
      </c>
      <c r="B131" t="s">
        <v>338</v>
      </c>
      <c r="C131" t="s">
        <v>335</v>
      </c>
      <c r="D131" t="s">
        <v>21</v>
      </c>
      <c r="E131" t="s">
        <v>22</v>
      </c>
      <c r="F131" t="s">
        <v>52</v>
      </c>
      <c r="G131" t="s">
        <v>336</v>
      </c>
      <c r="H131">
        <v>70</v>
      </c>
      <c r="I131" t="s">
        <v>37</v>
      </c>
      <c r="J131">
        <v>6543</v>
      </c>
      <c r="K131">
        <v>70</v>
      </c>
      <c r="L131" t="s">
        <v>37</v>
      </c>
      <c r="M131">
        <v>15000</v>
      </c>
      <c r="N131">
        <v>70</v>
      </c>
      <c r="O131" t="s">
        <v>37</v>
      </c>
      <c r="P131">
        <v>0</v>
      </c>
      <c r="Q131">
        <v>70</v>
      </c>
      <c r="R131" t="s">
        <v>37</v>
      </c>
      <c r="S131">
        <v>0</v>
      </c>
    </row>
    <row r="132" spans="1:19" ht="15.75" customHeight="1" x14ac:dyDescent="0.3">
      <c r="A132" t="str">
        <f>LEFT(B132,5)</f>
        <v>38122</v>
      </c>
      <c r="B132" t="s">
        <v>339</v>
      </c>
      <c r="C132" t="s">
        <v>340</v>
      </c>
      <c r="D132" t="s">
        <v>21</v>
      </c>
      <c r="E132" t="s">
        <v>22</v>
      </c>
      <c r="F132" t="s">
        <v>47</v>
      </c>
      <c r="G132" t="s">
        <v>341</v>
      </c>
      <c r="H132">
        <v>7</v>
      </c>
      <c r="I132">
        <v>58</v>
      </c>
      <c r="J132">
        <v>0</v>
      </c>
      <c r="K132">
        <v>11</v>
      </c>
      <c r="L132">
        <v>54</v>
      </c>
      <c r="M132">
        <v>0</v>
      </c>
      <c r="N132">
        <v>12</v>
      </c>
      <c r="O132">
        <v>53</v>
      </c>
      <c r="P132">
        <v>0</v>
      </c>
      <c r="Q132">
        <v>8</v>
      </c>
      <c r="R132">
        <v>57</v>
      </c>
      <c r="S132">
        <v>0</v>
      </c>
    </row>
    <row r="133" spans="1:19" ht="15.75" customHeight="1" x14ac:dyDescent="0.3">
      <c r="A133" t="str">
        <f>LEFT(B133,5)</f>
        <v>38122</v>
      </c>
      <c r="B133" t="s">
        <v>342</v>
      </c>
      <c r="C133" t="s">
        <v>340</v>
      </c>
      <c r="D133" t="s">
        <v>21</v>
      </c>
      <c r="E133" t="s">
        <v>22</v>
      </c>
      <c r="F133" t="s">
        <v>105</v>
      </c>
      <c r="G133" t="s">
        <v>341</v>
      </c>
      <c r="H133">
        <v>8</v>
      </c>
      <c r="I133">
        <v>57</v>
      </c>
      <c r="J133">
        <v>0</v>
      </c>
      <c r="K133">
        <v>6</v>
      </c>
      <c r="L133">
        <v>59</v>
      </c>
      <c r="M133">
        <v>0</v>
      </c>
      <c r="N133">
        <v>6</v>
      </c>
      <c r="O133">
        <v>59</v>
      </c>
      <c r="P133">
        <v>0</v>
      </c>
      <c r="Q133">
        <v>9</v>
      </c>
      <c r="R133">
        <v>56</v>
      </c>
      <c r="S133">
        <v>0</v>
      </c>
    </row>
    <row r="134" spans="1:19" ht="15.75" customHeight="1" x14ac:dyDescent="0.3">
      <c r="A134" t="str">
        <f>LEFT(B134,5)</f>
        <v>38601</v>
      </c>
      <c r="B134" t="s">
        <v>343</v>
      </c>
      <c r="C134" t="s">
        <v>344</v>
      </c>
      <c r="D134" t="s">
        <v>21</v>
      </c>
      <c r="E134" t="s">
        <v>22</v>
      </c>
      <c r="F134" t="s">
        <v>345</v>
      </c>
      <c r="G134" t="s">
        <v>346</v>
      </c>
      <c r="H134">
        <v>1</v>
      </c>
      <c r="I134">
        <v>29</v>
      </c>
      <c r="J134">
        <v>0</v>
      </c>
      <c r="K134">
        <v>1</v>
      </c>
      <c r="L134">
        <v>29</v>
      </c>
      <c r="M134">
        <v>0</v>
      </c>
      <c r="P134" t="s">
        <v>25</v>
      </c>
      <c r="Q134">
        <v>4</v>
      </c>
      <c r="R134">
        <v>26</v>
      </c>
      <c r="S134">
        <v>0</v>
      </c>
    </row>
    <row r="135" spans="1:19" ht="15.75" customHeight="1" x14ac:dyDescent="0.3">
      <c r="A135" t="str">
        <f>LEFT(B135,5)</f>
        <v>38901</v>
      </c>
      <c r="B135" t="s">
        <v>347</v>
      </c>
      <c r="C135" t="s">
        <v>348</v>
      </c>
      <c r="D135" t="s">
        <v>21</v>
      </c>
      <c r="E135" t="s">
        <v>22</v>
      </c>
      <c r="F135" t="s">
        <v>349</v>
      </c>
      <c r="G135" t="s">
        <v>350</v>
      </c>
      <c r="H135">
        <v>7</v>
      </c>
      <c r="I135">
        <v>28</v>
      </c>
      <c r="J135">
        <v>0</v>
      </c>
      <c r="K135">
        <v>7</v>
      </c>
      <c r="L135">
        <v>28</v>
      </c>
      <c r="M135">
        <v>0</v>
      </c>
      <c r="P135" t="s">
        <v>25</v>
      </c>
      <c r="Q135">
        <v>9</v>
      </c>
      <c r="R135">
        <v>26</v>
      </c>
      <c r="S135">
        <v>0</v>
      </c>
    </row>
    <row r="136" spans="1:19" ht="15.75" customHeight="1" x14ac:dyDescent="0.3">
      <c r="A136" t="str">
        <f>LEFT(B136,5)</f>
        <v>39001</v>
      </c>
      <c r="B136" t="s">
        <v>351</v>
      </c>
      <c r="C136" t="s">
        <v>352</v>
      </c>
      <c r="D136" t="s">
        <v>21</v>
      </c>
      <c r="E136" t="s">
        <v>22</v>
      </c>
      <c r="F136" t="s">
        <v>47</v>
      </c>
      <c r="G136" t="s">
        <v>353</v>
      </c>
      <c r="H136">
        <v>14</v>
      </c>
      <c r="I136">
        <v>51</v>
      </c>
      <c r="J136">
        <v>0</v>
      </c>
      <c r="K136">
        <v>20</v>
      </c>
      <c r="L136">
        <v>45</v>
      </c>
      <c r="M136">
        <v>0</v>
      </c>
      <c r="N136">
        <v>20</v>
      </c>
      <c r="O136">
        <v>45</v>
      </c>
      <c r="P136">
        <v>0</v>
      </c>
      <c r="Q136">
        <v>18</v>
      </c>
      <c r="R136">
        <v>47</v>
      </c>
      <c r="S136">
        <v>0</v>
      </c>
    </row>
    <row r="137" spans="1:19" ht="15.75" customHeight="1" x14ac:dyDescent="0.3">
      <c r="A137" t="str">
        <f>LEFT(B137,5)</f>
        <v>40000</v>
      </c>
      <c r="B137" t="s">
        <v>354</v>
      </c>
      <c r="C137" t="s">
        <v>355</v>
      </c>
      <c r="D137" t="s">
        <v>21</v>
      </c>
      <c r="E137" t="s">
        <v>22</v>
      </c>
      <c r="F137" t="s">
        <v>23</v>
      </c>
      <c r="G137" t="s">
        <v>254</v>
      </c>
      <c r="H137">
        <v>49</v>
      </c>
      <c r="I137">
        <v>16</v>
      </c>
      <c r="J137">
        <v>0</v>
      </c>
      <c r="K137">
        <v>54</v>
      </c>
      <c r="L137">
        <v>11</v>
      </c>
      <c r="M137">
        <v>0</v>
      </c>
      <c r="P137" t="s">
        <v>25</v>
      </c>
      <c r="Q137">
        <v>54</v>
      </c>
      <c r="R137">
        <v>11</v>
      </c>
      <c r="S137">
        <v>0</v>
      </c>
    </row>
    <row r="138" spans="1:19" ht="15.75" customHeight="1" x14ac:dyDescent="0.3">
      <c r="A138" t="str">
        <f>LEFT(B138,5)</f>
        <v>40000</v>
      </c>
      <c r="B138" t="s">
        <v>356</v>
      </c>
      <c r="C138" t="s">
        <v>355</v>
      </c>
      <c r="D138" t="s">
        <v>21</v>
      </c>
      <c r="E138" t="s">
        <v>22</v>
      </c>
      <c r="F138" t="s">
        <v>100</v>
      </c>
      <c r="G138" t="s">
        <v>254</v>
      </c>
      <c r="H138">
        <v>65</v>
      </c>
      <c r="I138" t="s">
        <v>37</v>
      </c>
      <c r="J138">
        <v>11</v>
      </c>
      <c r="K138">
        <v>65</v>
      </c>
      <c r="L138" t="s">
        <v>37</v>
      </c>
      <c r="M138">
        <v>112</v>
      </c>
      <c r="P138" t="s">
        <v>25</v>
      </c>
      <c r="Q138">
        <v>65</v>
      </c>
      <c r="R138" t="s">
        <v>37</v>
      </c>
      <c r="S138">
        <v>200</v>
      </c>
    </row>
    <row r="139" spans="1:19" ht="15.75" customHeight="1" x14ac:dyDescent="0.3">
      <c r="A139" t="str">
        <f>LEFT(B139,5)</f>
        <v>40101</v>
      </c>
      <c r="B139" t="s">
        <v>357</v>
      </c>
      <c r="C139" t="s">
        <v>358</v>
      </c>
      <c r="D139" t="s">
        <v>21</v>
      </c>
      <c r="E139" t="s">
        <v>22</v>
      </c>
      <c r="F139" t="s">
        <v>23</v>
      </c>
      <c r="G139" t="s">
        <v>359</v>
      </c>
      <c r="H139">
        <v>57</v>
      </c>
      <c r="I139">
        <v>8</v>
      </c>
      <c r="J139">
        <v>0</v>
      </c>
      <c r="K139">
        <v>65</v>
      </c>
      <c r="L139" t="s">
        <v>37</v>
      </c>
      <c r="M139">
        <v>10</v>
      </c>
      <c r="N139">
        <v>65</v>
      </c>
      <c r="O139" t="s">
        <v>37</v>
      </c>
      <c r="P139">
        <v>0</v>
      </c>
      <c r="Q139">
        <v>65</v>
      </c>
      <c r="R139" t="s">
        <v>37</v>
      </c>
      <c r="S139">
        <v>789</v>
      </c>
    </row>
    <row r="140" spans="1:19" ht="15.75" customHeight="1" x14ac:dyDescent="0.3">
      <c r="A140" t="str">
        <f>LEFT(B140,5)</f>
        <v>40101</v>
      </c>
      <c r="B140" t="s">
        <v>360</v>
      </c>
      <c r="C140" t="s">
        <v>358</v>
      </c>
      <c r="D140" t="s">
        <v>21</v>
      </c>
      <c r="E140" t="s">
        <v>22</v>
      </c>
      <c r="F140" t="s">
        <v>73</v>
      </c>
      <c r="G140" t="s">
        <v>359</v>
      </c>
      <c r="H140">
        <v>55</v>
      </c>
      <c r="I140">
        <v>10</v>
      </c>
      <c r="J140">
        <v>0</v>
      </c>
      <c r="K140">
        <v>65</v>
      </c>
      <c r="L140" t="s">
        <v>37</v>
      </c>
      <c r="M140">
        <v>1</v>
      </c>
      <c r="N140">
        <v>65</v>
      </c>
      <c r="O140" t="s">
        <v>37</v>
      </c>
      <c r="P140">
        <v>0</v>
      </c>
      <c r="Q140">
        <v>65</v>
      </c>
      <c r="R140" t="s">
        <v>37</v>
      </c>
      <c r="S140">
        <v>5352</v>
      </c>
    </row>
    <row r="141" spans="1:19" ht="15.75" customHeight="1" x14ac:dyDescent="0.3">
      <c r="A141" t="str">
        <f>LEFT(B141,5)</f>
        <v>40101</v>
      </c>
      <c r="B141" t="s">
        <v>361</v>
      </c>
      <c r="C141" t="s">
        <v>358</v>
      </c>
      <c r="D141" t="s">
        <v>21</v>
      </c>
      <c r="E141" t="s">
        <v>22</v>
      </c>
      <c r="F141" t="s">
        <v>52</v>
      </c>
      <c r="G141" t="s">
        <v>359</v>
      </c>
      <c r="H141">
        <v>70</v>
      </c>
      <c r="I141" t="s">
        <v>37</v>
      </c>
      <c r="J141">
        <v>35</v>
      </c>
      <c r="K141">
        <v>70</v>
      </c>
      <c r="L141" t="s">
        <v>37</v>
      </c>
      <c r="M141">
        <v>2000</v>
      </c>
      <c r="N141">
        <v>70</v>
      </c>
      <c r="O141" t="s">
        <v>37</v>
      </c>
      <c r="P141">
        <v>0</v>
      </c>
      <c r="Q141">
        <v>70</v>
      </c>
      <c r="R141" t="s">
        <v>37</v>
      </c>
      <c r="S141">
        <v>8000</v>
      </c>
    </row>
    <row r="142" spans="1:19" ht="15.75" customHeight="1" x14ac:dyDescent="0.3">
      <c r="A142" t="str">
        <f>LEFT(B142,5)</f>
        <v>40206</v>
      </c>
      <c r="B142" t="s">
        <v>362</v>
      </c>
      <c r="C142" t="s">
        <v>363</v>
      </c>
      <c r="D142" t="s">
        <v>21</v>
      </c>
      <c r="E142" t="s">
        <v>22</v>
      </c>
      <c r="F142" t="s">
        <v>364</v>
      </c>
      <c r="G142" t="s">
        <v>365</v>
      </c>
      <c r="H142">
        <v>29</v>
      </c>
      <c r="I142">
        <v>1</v>
      </c>
      <c r="J142">
        <v>0</v>
      </c>
      <c r="K142">
        <v>28</v>
      </c>
      <c r="L142">
        <v>2</v>
      </c>
      <c r="M142">
        <v>0</v>
      </c>
      <c r="N142">
        <v>28</v>
      </c>
      <c r="O142">
        <v>2</v>
      </c>
      <c r="P142">
        <v>0</v>
      </c>
      <c r="Q142">
        <v>30</v>
      </c>
      <c r="R142">
        <v>5</v>
      </c>
      <c r="S142">
        <v>0</v>
      </c>
    </row>
    <row r="143" spans="1:19" ht="15.75" customHeight="1" x14ac:dyDescent="0.3">
      <c r="A143" t="str">
        <f>LEFT(B143,5)</f>
        <v>40206</v>
      </c>
      <c r="B143" t="s">
        <v>366</v>
      </c>
      <c r="C143" t="s">
        <v>363</v>
      </c>
      <c r="D143" t="s">
        <v>21</v>
      </c>
      <c r="E143" t="s">
        <v>22</v>
      </c>
      <c r="F143" t="s">
        <v>105</v>
      </c>
      <c r="G143" t="s">
        <v>365</v>
      </c>
      <c r="H143">
        <v>14</v>
      </c>
      <c r="I143">
        <v>16</v>
      </c>
      <c r="J143">
        <v>0</v>
      </c>
      <c r="K143">
        <v>14</v>
      </c>
      <c r="L143">
        <v>16</v>
      </c>
      <c r="M143">
        <v>0</v>
      </c>
      <c r="N143">
        <v>14</v>
      </c>
      <c r="O143">
        <v>16</v>
      </c>
      <c r="P143">
        <v>0</v>
      </c>
      <c r="Q143">
        <v>20</v>
      </c>
      <c r="R143">
        <v>15</v>
      </c>
      <c r="S143">
        <v>0</v>
      </c>
    </row>
    <row r="144" spans="1:19" ht="15.75" customHeight="1" x14ac:dyDescent="0.3">
      <c r="A144" t="str">
        <f>LEFT(B144,5)</f>
        <v>40915</v>
      </c>
      <c r="B144" t="s">
        <v>367</v>
      </c>
      <c r="C144" t="s">
        <v>368</v>
      </c>
      <c r="D144" t="s">
        <v>21</v>
      </c>
      <c r="E144" t="s">
        <v>22</v>
      </c>
      <c r="F144" t="s">
        <v>39</v>
      </c>
      <c r="G144" t="s">
        <v>254</v>
      </c>
      <c r="H144">
        <v>9</v>
      </c>
      <c r="I144">
        <v>11</v>
      </c>
      <c r="J144">
        <v>0</v>
      </c>
      <c r="K144">
        <v>9</v>
      </c>
      <c r="L144">
        <v>11</v>
      </c>
      <c r="M144">
        <v>0</v>
      </c>
      <c r="P144" t="s">
        <v>25</v>
      </c>
      <c r="Q144">
        <v>9</v>
      </c>
      <c r="R144">
        <v>11</v>
      </c>
      <c r="S144">
        <v>0</v>
      </c>
    </row>
    <row r="145" spans="1:19" ht="15.75" customHeight="1" x14ac:dyDescent="0.3">
      <c r="A145" t="str">
        <f>LEFT(B145,5)</f>
        <v>41000</v>
      </c>
      <c r="B145" t="s">
        <v>369</v>
      </c>
      <c r="C145" t="s">
        <v>370</v>
      </c>
      <c r="D145" t="s">
        <v>21</v>
      </c>
      <c r="E145" t="s">
        <v>22</v>
      </c>
      <c r="F145" t="s">
        <v>44</v>
      </c>
      <c r="G145" t="s">
        <v>371</v>
      </c>
      <c r="H145">
        <v>65</v>
      </c>
      <c r="I145" t="s">
        <v>37</v>
      </c>
      <c r="J145">
        <v>1000</v>
      </c>
      <c r="K145">
        <v>65</v>
      </c>
      <c r="L145" t="s">
        <v>37</v>
      </c>
      <c r="M145">
        <v>3000</v>
      </c>
      <c r="P145" t="s">
        <v>25</v>
      </c>
      <c r="Q145">
        <v>64</v>
      </c>
      <c r="R145">
        <v>1</v>
      </c>
      <c r="S145">
        <v>0</v>
      </c>
    </row>
    <row r="146" spans="1:19" ht="15.75" customHeight="1" x14ac:dyDescent="0.3">
      <c r="A146" t="str">
        <f>LEFT(B146,5)</f>
        <v>41000</v>
      </c>
      <c r="B146" t="s">
        <v>372</v>
      </c>
      <c r="C146" t="s">
        <v>370</v>
      </c>
      <c r="D146" t="s">
        <v>21</v>
      </c>
      <c r="E146" t="s">
        <v>22</v>
      </c>
      <c r="F146" t="s">
        <v>373</v>
      </c>
      <c r="G146" t="s">
        <v>371</v>
      </c>
      <c r="H146">
        <v>33</v>
      </c>
      <c r="I146">
        <v>32</v>
      </c>
      <c r="J146">
        <v>0</v>
      </c>
      <c r="K146">
        <v>32</v>
      </c>
      <c r="L146">
        <v>33</v>
      </c>
      <c r="M146">
        <v>0</v>
      </c>
      <c r="P146" t="s">
        <v>25</v>
      </c>
      <c r="Q146">
        <v>26</v>
      </c>
      <c r="R146">
        <v>39</v>
      </c>
      <c r="S146">
        <v>0</v>
      </c>
    </row>
    <row r="147" spans="1:19" ht="15.75" customHeight="1" x14ac:dyDescent="0.3">
      <c r="A147" t="str">
        <f>LEFT(B147,5)</f>
        <v>41000</v>
      </c>
      <c r="B147" t="s">
        <v>374</v>
      </c>
      <c r="C147" t="s">
        <v>370</v>
      </c>
      <c r="D147" t="s">
        <v>21</v>
      </c>
      <c r="E147" t="s">
        <v>22</v>
      </c>
      <c r="F147" t="s">
        <v>44</v>
      </c>
      <c r="G147" t="s">
        <v>375</v>
      </c>
      <c r="H147">
        <v>34</v>
      </c>
      <c r="I147">
        <v>31</v>
      </c>
      <c r="J147">
        <v>0</v>
      </c>
      <c r="K147">
        <v>48</v>
      </c>
      <c r="L147">
        <v>17</v>
      </c>
      <c r="M147">
        <v>0</v>
      </c>
      <c r="P147" t="s">
        <v>25</v>
      </c>
      <c r="Q147">
        <v>52</v>
      </c>
      <c r="R147">
        <v>13</v>
      </c>
      <c r="S147">
        <v>0</v>
      </c>
    </row>
    <row r="148" spans="1:19" ht="15.75" customHeight="1" x14ac:dyDescent="0.3">
      <c r="A148" t="str">
        <f>LEFT(B148,5)</f>
        <v>41000</v>
      </c>
      <c r="B148" t="s">
        <v>376</v>
      </c>
      <c r="C148" t="s">
        <v>370</v>
      </c>
      <c r="D148" t="s">
        <v>21</v>
      </c>
      <c r="E148" t="s">
        <v>22</v>
      </c>
      <c r="F148" t="s">
        <v>105</v>
      </c>
      <c r="G148" t="s">
        <v>375</v>
      </c>
      <c r="H148">
        <v>29</v>
      </c>
      <c r="I148">
        <v>36</v>
      </c>
      <c r="J148">
        <v>0</v>
      </c>
      <c r="K148">
        <v>27</v>
      </c>
      <c r="L148">
        <v>38</v>
      </c>
      <c r="M148">
        <v>0</v>
      </c>
      <c r="N148">
        <v>34</v>
      </c>
      <c r="O148">
        <v>31</v>
      </c>
      <c r="P148">
        <v>0</v>
      </c>
      <c r="Q148">
        <v>41</v>
      </c>
      <c r="R148">
        <v>24</v>
      </c>
      <c r="S148">
        <v>0</v>
      </c>
    </row>
    <row r="149" spans="1:19" ht="15.75" customHeight="1" x14ac:dyDescent="0.3">
      <c r="A149" t="str">
        <f>LEFT(B149,5)</f>
        <v>41000</v>
      </c>
      <c r="B149" t="s">
        <v>377</v>
      </c>
      <c r="C149" t="s">
        <v>370</v>
      </c>
      <c r="D149" t="s">
        <v>21</v>
      </c>
      <c r="E149" t="s">
        <v>22</v>
      </c>
      <c r="F149" t="s">
        <v>41</v>
      </c>
      <c r="G149" t="s">
        <v>371</v>
      </c>
      <c r="H149">
        <v>18</v>
      </c>
      <c r="I149">
        <v>47</v>
      </c>
      <c r="J149">
        <v>0</v>
      </c>
      <c r="K149">
        <v>18</v>
      </c>
      <c r="L149">
        <v>47</v>
      </c>
      <c r="M149">
        <v>0</v>
      </c>
      <c r="N149">
        <v>28</v>
      </c>
      <c r="O149">
        <v>37</v>
      </c>
      <c r="P149">
        <v>0</v>
      </c>
      <c r="Q149">
        <v>30</v>
      </c>
      <c r="R149">
        <v>35</v>
      </c>
      <c r="S149">
        <v>0</v>
      </c>
    </row>
    <row r="150" spans="1:19" ht="15.75" customHeight="1" x14ac:dyDescent="0.3">
      <c r="A150" t="str">
        <f>LEFT(B150,5)</f>
        <v>41100</v>
      </c>
      <c r="B150" t="s">
        <v>378</v>
      </c>
      <c r="C150" t="s">
        <v>379</v>
      </c>
      <c r="D150" t="s">
        <v>21</v>
      </c>
      <c r="E150" t="s">
        <v>22</v>
      </c>
      <c r="F150" t="s">
        <v>100</v>
      </c>
      <c r="G150" t="s">
        <v>380</v>
      </c>
      <c r="H150">
        <v>65</v>
      </c>
      <c r="I150" t="s">
        <v>37</v>
      </c>
      <c r="J150">
        <v>1</v>
      </c>
      <c r="K150">
        <v>61</v>
      </c>
      <c r="L150">
        <v>4</v>
      </c>
      <c r="M150">
        <v>0</v>
      </c>
      <c r="N150">
        <v>61</v>
      </c>
      <c r="O150">
        <v>4</v>
      </c>
      <c r="P150">
        <v>0</v>
      </c>
      <c r="Q150">
        <v>61</v>
      </c>
      <c r="R150">
        <v>4</v>
      </c>
      <c r="S150">
        <v>0</v>
      </c>
    </row>
    <row r="151" spans="1:19" ht="15.75" customHeight="1" x14ac:dyDescent="0.3">
      <c r="A151" t="str">
        <f>LEFT(B151,5)</f>
        <v>41100</v>
      </c>
      <c r="B151" t="s">
        <v>381</v>
      </c>
      <c r="C151" t="s">
        <v>379</v>
      </c>
      <c r="D151" t="s">
        <v>21</v>
      </c>
      <c r="E151" t="s">
        <v>22</v>
      </c>
      <c r="F151" t="s">
        <v>23</v>
      </c>
      <c r="G151" t="s">
        <v>380</v>
      </c>
      <c r="H151">
        <v>42</v>
      </c>
      <c r="I151">
        <v>23</v>
      </c>
      <c r="J151">
        <v>0</v>
      </c>
      <c r="K151">
        <v>50</v>
      </c>
      <c r="L151">
        <v>15</v>
      </c>
      <c r="M151">
        <v>0</v>
      </c>
      <c r="N151">
        <v>50</v>
      </c>
      <c r="O151">
        <v>15</v>
      </c>
      <c r="P151">
        <v>0</v>
      </c>
      <c r="Q151">
        <v>52</v>
      </c>
      <c r="R151">
        <v>13</v>
      </c>
      <c r="S151">
        <v>0</v>
      </c>
    </row>
    <row r="152" spans="1:19" ht="15.75" customHeight="1" x14ac:dyDescent="0.3">
      <c r="A152" t="str">
        <f>LEFT(B152,5)</f>
        <v>41203</v>
      </c>
      <c r="B152" t="s">
        <v>382</v>
      </c>
      <c r="C152" t="s">
        <v>383</v>
      </c>
      <c r="D152" t="s">
        <v>21</v>
      </c>
      <c r="E152" t="s">
        <v>22</v>
      </c>
      <c r="F152" t="s">
        <v>29</v>
      </c>
      <c r="G152" t="s">
        <v>384</v>
      </c>
      <c r="H152">
        <v>31</v>
      </c>
      <c r="I152">
        <v>34</v>
      </c>
      <c r="J152">
        <v>0</v>
      </c>
      <c r="K152">
        <v>30</v>
      </c>
      <c r="L152">
        <v>35</v>
      </c>
      <c r="M152">
        <v>0</v>
      </c>
      <c r="N152">
        <v>30</v>
      </c>
      <c r="O152">
        <v>35</v>
      </c>
      <c r="P152">
        <v>0</v>
      </c>
      <c r="Q152">
        <v>36</v>
      </c>
      <c r="R152">
        <v>29</v>
      </c>
      <c r="S152">
        <v>0</v>
      </c>
    </row>
    <row r="153" spans="1:19" ht="15.75" customHeight="1" x14ac:dyDescent="0.3">
      <c r="A153" t="str">
        <f>LEFT(B153,5)</f>
        <v>41207</v>
      </c>
      <c r="B153" t="s">
        <v>385</v>
      </c>
      <c r="C153" t="s">
        <v>386</v>
      </c>
      <c r="D153" t="s">
        <v>21</v>
      </c>
      <c r="E153" t="s">
        <v>22</v>
      </c>
      <c r="F153" t="s">
        <v>44</v>
      </c>
      <c r="G153" t="s">
        <v>380</v>
      </c>
      <c r="H153">
        <v>18</v>
      </c>
      <c r="I153">
        <v>47</v>
      </c>
      <c r="J153">
        <v>0</v>
      </c>
      <c r="K153">
        <v>19</v>
      </c>
      <c r="L153">
        <v>46</v>
      </c>
      <c r="M153">
        <v>0</v>
      </c>
      <c r="N153">
        <v>19</v>
      </c>
      <c r="O153">
        <v>46</v>
      </c>
      <c r="P153">
        <v>0</v>
      </c>
      <c r="Q153">
        <v>20</v>
      </c>
      <c r="R153">
        <v>45</v>
      </c>
      <c r="S153">
        <v>0</v>
      </c>
    </row>
    <row r="154" spans="1:19" ht="15.75" customHeight="1" x14ac:dyDescent="0.3">
      <c r="A154" t="str">
        <f>LEFT(B154,5)</f>
        <v>41600</v>
      </c>
      <c r="B154" t="s">
        <v>387</v>
      </c>
      <c r="C154" t="s">
        <v>388</v>
      </c>
      <c r="D154" t="s">
        <v>21</v>
      </c>
      <c r="E154" t="s">
        <v>22</v>
      </c>
      <c r="F154" t="s">
        <v>389</v>
      </c>
      <c r="G154" t="s">
        <v>390</v>
      </c>
      <c r="H154">
        <v>2</v>
      </c>
      <c r="I154">
        <v>28</v>
      </c>
      <c r="J154">
        <v>0</v>
      </c>
      <c r="K154">
        <v>4</v>
      </c>
      <c r="L154">
        <v>26</v>
      </c>
      <c r="M154">
        <v>0</v>
      </c>
      <c r="P154" t="s">
        <v>25</v>
      </c>
      <c r="Q154">
        <v>5</v>
      </c>
      <c r="R154">
        <v>25</v>
      </c>
      <c r="S154">
        <v>0</v>
      </c>
    </row>
    <row r="155" spans="1:19" ht="15.75" customHeight="1" x14ac:dyDescent="0.3">
      <c r="A155" t="str">
        <f>LEFT(B155,5)</f>
        <v>41902</v>
      </c>
      <c r="B155" t="s">
        <v>391</v>
      </c>
      <c r="C155" t="s">
        <v>392</v>
      </c>
      <c r="D155" t="s">
        <v>21</v>
      </c>
      <c r="E155" t="s">
        <v>22</v>
      </c>
      <c r="F155" t="s">
        <v>39</v>
      </c>
      <c r="G155" t="s">
        <v>393</v>
      </c>
      <c r="H155">
        <v>6</v>
      </c>
      <c r="I155">
        <v>59</v>
      </c>
      <c r="J155">
        <v>0</v>
      </c>
      <c r="K155">
        <v>6</v>
      </c>
      <c r="L155">
        <v>59</v>
      </c>
      <c r="M155">
        <v>0</v>
      </c>
      <c r="P155" t="s">
        <v>25</v>
      </c>
      <c r="Q155">
        <v>8</v>
      </c>
      <c r="R155">
        <v>57</v>
      </c>
      <c r="S155">
        <v>0</v>
      </c>
    </row>
    <row r="156" spans="1:19" ht="15.75" customHeight="1" x14ac:dyDescent="0.3">
      <c r="A156" t="str">
        <f>LEFT(B156,5)</f>
        <v>41910</v>
      </c>
      <c r="B156" t="s">
        <v>394</v>
      </c>
      <c r="C156" t="s">
        <v>395</v>
      </c>
      <c r="D156" t="s">
        <v>21</v>
      </c>
      <c r="E156" t="s">
        <v>22</v>
      </c>
      <c r="F156" t="s">
        <v>396</v>
      </c>
      <c r="G156" t="s">
        <v>384</v>
      </c>
      <c r="H156">
        <v>66</v>
      </c>
      <c r="I156" t="s">
        <v>37</v>
      </c>
      <c r="J156">
        <v>1</v>
      </c>
      <c r="K156">
        <v>66</v>
      </c>
      <c r="L156" t="s">
        <v>37</v>
      </c>
      <c r="M156">
        <v>0</v>
      </c>
      <c r="P156" t="s">
        <v>25</v>
      </c>
      <c r="Q156">
        <v>65</v>
      </c>
      <c r="R156" t="s">
        <v>37</v>
      </c>
      <c r="S156">
        <v>0</v>
      </c>
    </row>
    <row r="157" spans="1:19" ht="15.75" customHeight="1" x14ac:dyDescent="0.3">
      <c r="A157" t="str">
        <f>LEFT(B157,5)</f>
        <v>42001</v>
      </c>
      <c r="B157" t="s">
        <v>397</v>
      </c>
      <c r="C157" t="s">
        <v>398</v>
      </c>
      <c r="D157" t="s">
        <v>21</v>
      </c>
      <c r="E157" t="s">
        <v>22</v>
      </c>
      <c r="F157" t="s">
        <v>23</v>
      </c>
      <c r="G157" t="s">
        <v>399</v>
      </c>
      <c r="H157">
        <v>65</v>
      </c>
      <c r="I157" t="s">
        <v>37</v>
      </c>
      <c r="J157">
        <v>5</v>
      </c>
      <c r="K157">
        <v>65</v>
      </c>
      <c r="L157" t="s">
        <v>37</v>
      </c>
      <c r="M157">
        <v>4</v>
      </c>
      <c r="P157" t="s">
        <v>25</v>
      </c>
      <c r="Q157">
        <v>65</v>
      </c>
      <c r="R157" t="s">
        <v>37</v>
      </c>
      <c r="S157">
        <v>51</v>
      </c>
    </row>
    <row r="158" spans="1:19" ht="15.75" customHeight="1" x14ac:dyDescent="0.3">
      <c r="A158" t="str">
        <f>LEFT(B158,5)</f>
        <v>42001</v>
      </c>
      <c r="B158" t="s">
        <v>400</v>
      </c>
      <c r="C158" t="s">
        <v>398</v>
      </c>
      <c r="D158" t="s">
        <v>21</v>
      </c>
      <c r="E158" t="s">
        <v>22</v>
      </c>
      <c r="F158" t="s">
        <v>100</v>
      </c>
      <c r="G158" t="s">
        <v>399</v>
      </c>
      <c r="H158">
        <v>65</v>
      </c>
      <c r="I158" t="s">
        <v>37</v>
      </c>
      <c r="J158">
        <v>300</v>
      </c>
      <c r="K158">
        <v>65</v>
      </c>
      <c r="L158" t="s">
        <v>37</v>
      </c>
      <c r="M158">
        <v>2222</v>
      </c>
      <c r="P158" t="s">
        <v>25</v>
      </c>
      <c r="Q158">
        <v>65</v>
      </c>
      <c r="R158" t="s">
        <v>37</v>
      </c>
      <c r="S158">
        <v>500</v>
      </c>
    </row>
    <row r="159" spans="1:19" ht="15.75" customHeight="1" x14ac:dyDescent="0.3">
      <c r="A159" t="str">
        <f>LEFT(B159,5)</f>
        <v>42001</v>
      </c>
      <c r="B159" t="s">
        <v>401</v>
      </c>
      <c r="C159" t="s">
        <v>398</v>
      </c>
      <c r="D159" t="s">
        <v>21</v>
      </c>
      <c r="E159" t="s">
        <v>22</v>
      </c>
      <c r="F159" t="s">
        <v>39</v>
      </c>
      <c r="G159" t="s">
        <v>402</v>
      </c>
      <c r="H159">
        <v>30</v>
      </c>
      <c r="I159">
        <v>35</v>
      </c>
      <c r="J159">
        <v>0</v>
      </c>
      <c r="K159">
        <v>37</v>
      </c>
      <c r="L159">
        <v>28</v>
      </c>
      <c r="M159">
        <v>0</v>
      </c>
      <c r="P159" t="s">
        <v>25</v>
      </c>
      <c r="Q159">
        <v>36</v>
      </c>
      <c r="R159">
        <v>29</v>
      </c>
      <c r="S159">
        <v>0</v>
      </c>
    </row>
    <row r="160" spans="1:19" ht="15.75" customHeight="1" x14ac:dyDescent="0.3">
      <c r="A160" t="str">
        <f>LEFT(B160,5)</f>
        <v>42001</v>
      </c>
      <c r="B160" t="s">
        <v>403</v>
      </c>
      <c r="C160" t="s">
        <v>398</v>
      </c>
      <c r="D160" t="s">
        <v>21</v>
      </c>
      <c r="E160" t="s">
        <v>22</v>
      </c>
      <c r="F160" t="s">
        <v>404</v>
      </c>
      <c r="G160" t="s">
        <v>402</v>
      </c>
      <c r="H160">
        <v>35</v>
      </c>
      <c r="I160">
        <v>30</v>
      </c>
      <c r="J160">
        <v>0</v>
      </c>
      <c r="K160">
        <v>33</v>
      </c>
      <c r="L160">
        <v>32</v>
      </c>
      <c r="M160">
        <v>0</v>
      </c>
      <c r="P160" t="s">
        <v>25</v>
      </c>
      <c r="Q160">
        <v>30</v>
      </c>
      <c r="R160">
        <v>35</v>
      </c>
      <c r="S160">
        <v>0</v>
      </c>
    </row>
    <row r="161" spans="1:19" ht="15.75" customHeight="1" x14ac:dyDescent="0.3">
      <c r="A161" t="str">
        <f>LEFT(B161,5)</f>
        <v>42001</v>
      </c>
      <c r="B161" t="s">
        <v>405</v>
      </c>
      <c r="C161" t="s">
        <v>398</v>
      </c>
      <c r="D161" t="s">
        <v>21</v>
      </c>
      <c r="E161" t="s">
        <v>22</v>
      </c>
      <c r="F161" t="s">
        <v>52</v>
      </c>
      <c r="G161" t="s">
        <v>399</v>
      </c>
      <c r="H161">
        <v>25</v>
      </c>
      <c r="I161">
        <v>40</v>
      </c>
      <c r="J161">
        <v>0</v>
      </c>
      <c r="K161">
        <v>29</v>
      </c>
      <c r="L161">
        <v>36</v>
      </c>
      <c r="M161">
        <v>0</v>
      </c>
      <c r="N161">
        <v>29</v>
      </c>
      <c r="O161">
        <v>36</v>
      </c>
      <c r="P161">
        <v>0</v>
      </c>
      <c r="Q161">
        <v>30</v>
      </c>
      <c r="R161">
        <v>35</v>
      </c>
      <c r="S161">
        <v>0</v>
      </c>
    </row>
    <row r="162" spans="1:19" ht="15.75" customHeight="1" x14ac:dyDescent="0.3">
      <c r="A162" t="str">
        <f>LEFT(B162,5)</f>
        <v>42108</v>
      </c>
      <c r="B162" t="s">
        <v>406</v>
      </c>
      <c r="C162" t="s">
        <v>407</v>
      </c>
      <c r="D162" t="s">
        <v>21</v>
      </c>
      <c r="E162" t="s">
        <v>22</v>
      </c>
      <c r="F162" t="s">
        <v>408</v>
      </c>
      <c r="G162" t="s">
        <v>409</v>
      </c>
      <c r="H162">
        <v>51</v>
      </c>
      <c r="I162">
        <v>14</v>
      </c>
      <c r="J162">
        <v>0</v>
      </c>
      <c r="K162">
        <v>60</v>
      </c>
      <c r="L162">
        <v>5</v>
      </c>
      <c r="M162">
        <v>0</v>
      </c>
      <c r="N162">
        <v>60</v>
      </c>
      <c r="O162">
        <v>5</v>
      </c>
      <c r="P162">
        <v>0</v>
      </c>
      <c r="Q162">
        <v>65</v>
      </c>
      <c r="R162" t="s">
        <v>37</v>
      </c>
      <c r="S162">
        <v>3003</v>
      </c>
    </row>
    <row r="163" spans="1:19" ht="15.75" customHeight="1" x14ac:dyDescent="0.3">
      <c r="A163" t="str">
        <f>LEFT(B163,5)</f>
        <v>42108</v>
      </c>
      <c r="B163" t="s">
        <v>410</v>
      </c>
      <c r="C163" t="s">
        <v>407</v>
      </c>
      <c r="D163" t="s">
        <v>21</v>
      </c>
      <c r="E163" t="s">
        <v>22</v>
      </c>
      <c r="F163" t="s">
        <v>411</v>
      </c>
      <c r="G163" t="s">
        <v>409</v>
      </c>
      <c r="H163">
        <v>65</v>
      </c>
      <c r="I163" t="s">
        <v>37</v>
      </c>
      <c r="J163">
        <v>3986</v>
      </c>
      <c r="K163">
        <v>65</v>
      </c>
      <c r="L163" t="s">
        <v>37</v>
      </c>
      <c r="M163">
        <v>1200</v>
      </c>
      <c r="N163">
        <v>65</v>
      </c>
      <c r="O163" t="s">
        <v>37</v>
      </c>
      <c r="P163">
        <v>0</v>
      </c>
      <c r="Q163">
        <v>65</v>
      </c>
      <c r="R163" t="s">
        <v>37</v>
      </c>
      <c r="S163">
        <v>12100</v>
      </c>
    </row>
    <row r="164" spans="1:19" ht="15.75" customHeight="1" x14ac:dyDescent="0.3">
      <c r="A164" t="str">
        <f>LEFT(B164,5)</f>
        <v>42121</v>
      </c>
      <c r="B164" t="s">
        <v>412</v>
      </c>
      <c r="C164" t="s">
        <v>413</v>
      </c>
      <c r="D164" t="s">
        <v>21</v>
      </c>
      <c r="E164" t="s">
        <v>22</v>
      </c>
      <c r="F164" t="s">
        <v>29</v>
      </c>
      <c r="G164" t="s">
        <v>414</v>
      </c>
      <c r="H164">
        <v>70</v>
      </c>
      <c r="I164" t="s">
        <v>37</v>
      </c>
      <c r="J164">
        <v>14000</v>
      </c>
      <c r="K164">
        <v>70</v>
      </c>
      <c r="L164" t="s">
        <v>37</v>
      </c>
      <c r="M164">
        <v>0</v>
      </c>
      <c r="N164">
        <v>70</v>
      </c>
      <c r="O164" t="s">
        <v>37</v>
      </c>
      <c r="P164">
        <v>0</v>
      </c>
      <c r="Q164">
        <v>70</v>
      </c>
      <c r="R164" t="s">
        <v>37</v>
      </c>
      <c r="S164">
        <v>0</v>
      </c>
    </row>
    <row r="165" spans="1:19" ht="15.75" customHeight="1" x14ac:dyDescent="0.3">
      <c r="A165" t="str">
        <f>LEFT(B165,5)</f>
        <v>42129</v>
      </c>
      <c r="B165" t="s">
        <v>415</v>
      </c>
      <c r="C165" t="s">
        <v>416</v>
      </c>
      <c r="D165" t="s">
        <v>21</v>
      </c>
      <c r="E165" t="s">
        <v>22</v>
      </c>
      <c r="F165" t="s">
        <v>80</v>
      </c>
      <c r="G165" t="s">
        <v>417</v>
      </c>
      <c r="H165">
        <v>34</v>
      </c>
      <c r="I165">
        <v>31</v>
      </c>
      <c r="J165">
        <v>0</v>
      </c>
      <c r="K165">
        <v>45</v>
      </c>
      <c r="L165">
        <v>20</v>
      </c>
      <c r="M165">
        <v>0</v>
      </c>
      <c r="N165">
        <v>45</v>
      </c>
      <c r="O165">
        <v>20</v>
      </c>
      <c r="P165">
        <v>0</v>
      </c>
      <c r="Q165">
        <v>43</v>
      </c>
      <c r="R165">
        <v>22</v>
      </c>
      <c r="S165">
        <v>0</v>
      </c>
    </row>
    <row r="166" spans="1:19" ht="15.75" customHeight="1" x14ac:dyDescent="0.3">
      <c r="A166" t="str">
        <f>LEFT(B166,5)</f>
        <v>42133</v>
      </c>
      <c r="B166" t="s">
        <v>418</v>
      </c>
      <c r="C166" t="s">
        <v>419</v>
      </c>
      <c r="D166" t="s">
        <v>21</v>
      </c>
      <c r="E166" t="s">
        <v>22</v>
      </c>
      <c r="F166" t="s">
        <v>310</v>
      </c>
      <c r="G166" t="s">
        <v>420</v>
      </c>
      <c r="H166">
        <v>65</v>
      </c>
      <c r="I166" t="s">
        <v>37</v>
      </c>
      <c r="J166">
        <v>829</v>
      </c>
      <c r="K166">
        <v>65</v>
      </c>
      <c r="L166" t="s">
        <v>37</v>
      </c>
      <c r="M166">
        <v>5000</v>
      </c>
      <c r="P166" t="s">
        <v>25</v>
      </c>
      <c r="Q166">
        <v>65</v>
      </c>
      <c r="R166" t="s">
        <v>37</v>
      </c>
      <c r="S166">
        <v>6003</v>
      </c>
    </row>
    <row r="167" spans="1:19" ht="15.75" customHeight="1" x14ac:dyDescent="0.3">
      <c r="A167" t="str">
        <f>LEFT(B167,5)</f>
        <v>42133</v>
      </c>
      <c r="B167" t="s">
        <v>421</v>
      </c>
      <c r="C167" t="s">
        <v>419</v>
      </c>
      <c r="D167" t="s">
        <v>21</v>
      </c>
      <c r="E167" t="s">
        <v>22</v>
      </c>
      <c r="F167" t="s">
        <v>105</v>
      </c>
      <c r="G167" t="s">
        <v>420</v>
      </c>
      <c r="H167">
        <v>15</v>
      </c>
      <c r="I167">
        <v>50</v>
      </c>
      <c r="J167">
        <v>0</v>
      </c>
      <c r="K167">
        <v>17</v>
      </c>
      <c r="L167">
        <v>48</v>
      </c>
      <c r="M167">
        <v>0</v>
      </c>
      <c r="N167">
        <v>18</v>
      </c>
      <c r="O167">
        <v>47</v>
      </c>
      <c r="P167">
        <v>0</v>
      </c>
      <c r="Q167">
        <v>31</v>
      </c>
      <c r="R167">
        <v>34</v>
      </c>
      <c r="S167">
        <v>0</v>
      </c>
    </row>
    <row r="168" spans="1:19" ht="15.75" customHeight="1" x14ac:dyDescent="0.3">
      <c r="A168" t="str">
        <f>LEFT(B168,5)</f>
        <v>42133</v>
      </c>
      <c r="B168" t="s">
        <v>422</v>
      </c>
      <c r="C168" t="s">
        <v>419</v>
      </c>
      <c r="D168" t="s">
        <v>21</v>
      </c>
      <c r="E168" t="s">
        <v>22</v>
      </c>
      <c r="F168" t="s">
        <v>41</v>
      </c>
      <c r="G168" t="s">
        <v>420</v>
      </c>
      <c r="H168">
        <v>11</v>
      </c>
      <c r="I168">
        <v>54</v>
      </c>
      <c r="J168">
        <v>0</v>
      </c>
      <c r="K168">
        <v>9</v>
      </c>
      <c r="L168">
        <v>56</v>
      </c>
      <c r="M168">
        <v>0</v>
      </c>
      <c r="N168">
        <v>14</v>
      </c>
      <c r="O168">
        <v>51</v>
      </c>
      <c r="P168">
        <v>0</v>
      </c>
      <c r="Q168">
        <v>20</v>
      </c>
      <c r="R168">
        <v>45</v>
      </c>
      <c r="S168">
        <v>0</v>
      </c>
    </row>
    <row r="169" spans="1:19" ht="15.75" customHeight="1" x14ac:dyDescent="0.3">
      <c r="A169" t="str">
        <f>LEFT(B169,5)</f>
        <v>42715</v>
      </c>
      <c r="B169" t="s">
        <v>423</v>
      </c>
      <c r="C169" t="s">
        <v>424</v>
      </c>
      <c r="D169" t="s">
        <v>21</v>
      </c>
      <c r="E169" t="s">
        <v>22</v>
      </c>
      <c r="F169" t="s">
        <v>245</v>
      </c>
      <c r="G169" t="s">
        <v>425</v>
      </c>
      <c r="H169">
        <v>48</v>
      </c>
      <c r="I169" t="s">
        <v>37</v>
      </c>
      <c r="J169">
        <v>6002</v>
      </c>
      <c r="K169">
        <v>48</v>
      </c>
      <c r="L169" t="s">
        <v>37</v>
      </c>
      <c r="M169">
        <v>0</v>
      </c>
      <c r="P169" t="s">
        <v>25</v>
      </c>
      <c r="Q169">
        <v>48</v>
      </c>
      <c r="R169" t="s">
        <v>37</v>
      </c>
      <c r="S169">
        <v>0</v>
      </c>
    </row>
    <row r="170" spans="1:19" ht="15.75" customHeight="1" x14ac:dyDescent="0.3">
      <c r="A170" t="str">
        <f>LEFT(B170,5)</f>
        <v>42715</v>
      </c>
      <c r="B170" t="s">
        <v>426</v>
      </c>
      <c r="C170" t="s">
        <v>424</v>
      </c>
      <c r="D170" t="s">
        <v>21</v>
      </c>
      <c r="E170" t="s">
        <v>22</v>
      </c>
      <c r="F170" t="s">
        <v>52</v>
      </c>
      <c r="G170" t="s">
        <v>425</v>
      </c>
      <c r="H170">
        <v>28</v>
      </c>
      <c r="I170">
        <v>20</v>
      </c>
      <c r="J170">
        <v>0</v>
      </c>
      <c r="K170">
        <v>30</v>
      </c>
      <c r="L170">
        <v>18</v>
      </c>
      <c r="M170">
        <v>0</v>
      </c>
      <c r="P170" t="s">
        <v>25</v>
      </c>
      <c r="Q170">
        <v>48</v>
      </c>
      <c r="R170" t="s">
        <v>37</v>
      </c>
      <c r="S170">
        <v>5350</v>
      </c>
    </row>
    <row r="171" spans="1:19" ht="15.75" customHeight="1" x14ac:dyDescent="0.3">
      <c r="A171" t="str">
        <f>LEFT(B171,5)</f>
        <v>43100</v>
      </c>
      <c r="B171" t="s">
        <v>427</v>
      </c>
      <c r="C171" t="s">
        <v>428</v>
      </c>
      <c r="D171" t="s">
        <v>21</v>
      </c>
      <c r="E171" t="s">
        <v>22</v>
      </c>
      <c r="F171" t="s">
        <v>35</v>
      </c>
      <c r="G171" t="s">
        <v>393</v>
      </c>
      <c r="H171">
        <v>70</v>
      </c>
      <c r="I171" t="s">
        <v>37</v>
      </c>
      <c r="J171">
        <v>1257</v>
      </c>
      <c r="K171">
        <v>70</v>
      </c>
      <c r="L171" t="s">
        <v>37</v>
      </c>
      <c r="M171">
        <v>7000</v>
      </c>
      <c r="N171">
        <v>70</v>
      </c>
      <c r="O171" t="s">
        <v>37</v>
      </c>
      <c r="P171">
        <v>0</v>
      </c>
      <c r="Q171">
        <v>70</v>
      </c>
      <c r="R171" t="s">
        <v>37</v>
      </c>
      <c r="S171">
        <v>11000</v>
      </c>
    </row>
    <row r="172" spans="1:19" s="1" customFormat="1" ht="15.75" customHeight="1" x14ac:dyDescent="0.3">
      <c r="A172" s="1" t="str">
        <f>LEFT(B172,5)</f>
        <v>43120</v>
      </c>
      <c r="B172" s="1" t="s">
        <v>429</v>
      </c>
      <c r="C172" s="1" t="s">
        <v>430</v>
      </c>
      <c r="D172" s="1" t="s">
        <v>21</v>
      </c>
      <c r="E172" s="1" t="s">
        <v>22</v>
      </c>
      <c r="F172" s="1" t="s">
        <v>171</v>
      </c>
      <c r="G172" s="1" t="s">
        <v>431</v>
      </c>
      <c r="H172" s="1">
        <v>48</v>
      </c>
      <c r="I172" s="1">
        <v>17</v>
      </c>
      <c r="J172" s="1">
        <v>0</v>
      </c>
      <c r="K172" s="1">
        <v>65</v>
      </c>
      <c r="L172" s="1" t="s">
        <v>37</v>
      </c>
      <c r="M172" s="1">
        <v>674</v>
      </c>
      <c r="N172" s="1">
        <v>65</v>
      </c>
      <c r="O172" s="1" t="s">
        <v>37</v>
      </c>
      <c r="P172" s="1">
        <v>0</v>
      </c>
      <c r="Q172" s="1">
        <v>65</v>
      </c>
      <c r="R172" s="1" t="s">
        <v>37</v>
      </c>
      <c r="S172" s="1">
        <v>1500</v>
      </c>
    </row>
    <row r="173" spans="1:19" ht="15.75" customHeight="1" x14ac:dyDescent="0.3">
      <c r="A173" t="str">
        <f t="shared" ref="A173:A174" si="0">LEFT(B173,5)</f>
        <v>43950</v>
      </c>
      <c r="B173" t="s">
        <v>432</v>
      </c>
      <c r="C173" t="s">
        <v>433</v>
      </c>
      <c r="D173" t="s">
        <v>21</v>
      </c>
      <c r="E173" t="s">
        <v>22</v>
      </c>
      <c r="F173" t="s">
        <v>245</v>
      </c>
      <c r="G173" t="s">
        <v>74</v>
      </c>
      <c r="H173">
        <v>1</v>
      </c>
      <c r="I173">
        <v>21</v>
      </c>
      <c r="J173">
        <v>0</v>
      </c>
      <c r="K173">
        <v>4</v>
      </c>
      <c r="L173">
        <v>18</v>
      </c>
      <c r="M173">
        <v>0</v>
      </c>
      <c r="P173" t="s">
        <v>25</v>
      </c>
      <c r="Q173">
        <v>5</v>
      </c>
      <c r="R173">
        <v>17</v>
      </c>
      <c r="S173">
        <v>0</v>
      </c>
    </row>
    <row r="174" spans="1:19" ht="15.75" customHeight="1" x14ac:dyDescent="0.3">
      <c r="A174" t="str">
        <f t="shared" si="0"/>
        <v>44101</v>
      </c>
      <c r="B174" t="s">
        <v>434</v>
      </c>
      <c r="C174" t="s">
        <v>435</v>
      </c>
      <c r="D174" t="s">
        <v>21</v>
      </c>
      <c r="E174" t="s">
        <v>22</v>
      </c>
      <c r="F174" t="s">
        <v>148</v>
      </c>
      <c r="G174" t="s">
        <v>325</v>
      </c>
      <c r="H174">
        <v>60</v>
      </c>
      <c r="I174">
        <v>5</v>
      </c>
      <c r="J174">
        <v>0</v>
      </c>
      <c r="K174">
        <v>65</v>
      </c>
      <c r="L174" t="s">
        <v>37</v>
      </c>
      <c r="M174">
        <v>2006</v>
      </c>
      <c r="N174">
        <v>65</v>
      </c>
      <c r="O174" t="s">
        <v>37</v>
      </c>
      <c r="P174">
        <v>0</v>
      </c>
      <c r="Q174">
        <v>65</v>
      </c>
      <c r="R174" t="s">
        <v>37</v>
      </c>
      <c r="S174">
        <v>479</v>
      </c>
    </row>
    <row r="175" spans="1:19" ht="15.75" customHeight="1" x14ac:dyDescent="0.3"/>
    <row r="176" spans="1:19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S174" xr:uid="{00000000-0001-0000-0200-000000000000}">
    <sortState xmlns:xlrd2="http://schemas.microsoft.com/office/spreadsheetml/2017/richdata2" ref="A2:S172">
      <sortCondition ref="A1:A174"/>
    </sortState>
  </autoFilter>
  <pageMargins left="0.5" right="0.2" top="0.75" bottom="0.5" header="0" footer="0"/>
  <pageSetup orientation="landscape"/>
  <headerFooter>
    <oddHeader>&amp;L Course Price History Report   Run on 6/2/2026 7:30:09 AM.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Suarez Pardo, Carlos</dc:creator>
  <cp:lastModifiedBy>Suarez Pardo, Carlos</cp:lastModifiedBy>
  <dcterms:created xsi:type="dcterms:W3CDTF">2026-06-03T08:41:23Z</dcterms:created>
  <dcterms:modified xsi:type="dcterms:W3CDTF">2026-06-03T08:42:36Z</dcterms:modified>
</cp:coreProperties>
</file>